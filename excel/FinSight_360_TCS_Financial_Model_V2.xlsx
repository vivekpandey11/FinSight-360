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Valuation Summary" sheetId="3" state="visible" r:id="rId3"/>
    <sheet xmlns:r="http://schemas.openxmlformats.org/officeDocument/2006/relationships" name="Historical" sheetId="4" state="visible" r:id="rId4"/>
    <sheet xmlns:r="http://schemas.openxmlformats.org/officeDocument/2006/relationships" name="Forecast" sheetId="5" state="visible" r:id="rId5"/>
    <sheet xmlns:r="http://schemas.openxmlformats.org/officeDocument/2006/relationships" name="DCF" sheetId="6" state="visible" r:id="rId6"/>
    <sheet xmlns:r="http://schemas.openxmlformats.org/officeDocument/2006/relationships" name="Sensitivity" sheetId="7" state="visible" r:id="rId7"/>
    <sheet xmlns:r="http://schemas.openxmlformats.org/officeDocument/2006/relationships" name="Comps" sheetId="8" state="visible" r:id="rId8"/>
    <sheet xmlns:r="http://schemas.openxmlformats.org/officeDocument/2006/relationships" name="FP&amp;A" sheetId="9" state="visible" r:id="rId9"/>
    <sheet xmlns:r="http://schemas.openxmlformats.org/officeDocument/2006/relationships" name="Treasury" sheetId="10" state="visible" r:id="rId10"/>
    <sheet xmlns:r="http://schemas.openxmlformats.org/officeDocument/2006/relationships" name="Credit" sheetId="11" state="visible" r:id="rId11"/>
    <sheet xmlns:r="http://schemas.openxmlformats.org/officeDocument/2006/relationships" name="Portfolio" sheetId="12" state="visible" r:id="rId12"/>
    <sheet xmlns:r="http://schemas.openxmlformats.org/officeDocument/2006/relationships" name="Risk" sheetId="13" state="visible" r:id="rId13"/>
  </sheets>
  <definedNames>
    <definedName name="_xlnm._FilterDatabase" localSheetId="3" hidden="1">'Historical'!$A$4:$AD$9</definedName>
    <definedName name="_xlnm._FilterDatabase" localSheetId="4" hidden="1">'Forecast'!$A$4:$M$19</definedName>
    <definedName name="_xlnm._FilterDatabase" localSheetId="5" hidden="1">'DCF'!$A$4:$O$7</definedName>
    <definedName name="_xlnm._FilterDatabase" localSheetId="6" hidden="1">'Sensitivity'!$A$4:$F$9</definedName>
    <definedName name="_xlnm._FilterDatabase" localSheetId="7" hidden="1">'Comps'!$A$4:$T$7</definedName>
    <definedName name="_xlnm._FilterDatabase" localSheetId="8" hidden="1">'FP&amp;A'!$A$11:$C$17</definedName>
    <definedName name="_xlnm._FilterDatabase" localSheetId="9" hidden="1">'Treasury'!$A$21:$I$24</definedName>
    <definedName name="_xlnm._FilterDatabase" localSheetId="10" hidden="1">'Credit'!$A$15:$M$16</definedName>
    <definedName name="_xlnm._FilterDatabase" localSheetId="11" hidden="1">'Portfolio'!$A$18:$E$30</definedName>
    <definedName name="_xlnm._FilterDatabase" localSheetId="12" hidden="1">'Risk'!$A$4:$K$7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#,##0.00;[Red](#,##0.00);-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b val="1"/>
    </font>
    <font>
      <b val="1"/>
      <color rgb="00FFFFFF"/>
    </font>
    <font>
      <color rgb="004472C4"/>
    </font>
    <font>
      <color rgb="00008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4472C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4" fontId="4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0" fillId="0" borderId="1" pivotButton="0" quotePrefix="0" xfId="0"/>
    <xf numFmtId="164" fontId="0" fillId="0" borderId="1" applyAlignment="1" pivotButton="0" quotePrefix="0" xfId="0">
      <alignment vertical="center"/>
    </xf>
    <xf numFmtId="10" fontId="6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65" customWidth="1" min="2" max="2"/>
  </cols>
  <sheetData>
    <row r="1" ht="24" customHeight="1">
      <c r="A1" s="1" t="inlineStr">
        <is>
          <t>FinSight 360 — Financial Analysis, Valuation &amp; Portfolio Intelligence</t>
        </is>
      </c>
    </row>
    <row r="2" ht="24" customHeight="1"/>
    <row r="3"/>
    <row r="4">
      <c r="A4" s="2" t="inlineStr">
        <is>
          <t>Primary Company</t>
        </is>
      </c>
      <c r="B4" s="3" t="inlineStr">
        <is>
          <t>Tata Consultancy Services</t>
        </is>
      </c>
    </row>
    <row r="5">
      <c r="A5" s="2" t="inlineStr">
        <is>
          <t>Peer Universe</t>
        </is>
      </c>
      <c r="B5" s="3" t="inlineStr">
        <is>
          <t>Infosys | HCL Technologies</t>
        </is>
      </c>
    </row>
    <row r="6">
      <c r="A6" s="2" t="inlineStr">
        <is>
          <t>Historical Period</t>
        </is>
      </c>
      <c r="B6" s="3" t="inlineStr">
        <is>
          <t>FY2022–FY2026</t>
        </is>
      </c>
    </row>
    <row r="7">
      <c r="A7" s="2" t="inlineStr">
        <is>
          <t>Forecast Period</t>
        </is>
      </c>
      <c r="B7" s="3" t="inlineStr">
        <is>
          <t>FY2027–FY2031</t>
        </is>
      </c>
    </row>
    <row r="8">
      <c r="A8" s="2" t="inlineStr">
        <is>
          <t>Market Reference Date</t>
        </is>
      </c>
      <c r="B8" s="3" t="inlineStr">
        <is>
          <t>06-Oct-2026</t>
        </is>
      </c>
    </row>
    <row r="9">
      <c r="A9" s="2" t="inlineStr">
        <is>
          <t>Currency</t>
        </is>
      </c>
      <c r="B9" s="3" t="inlineStr">
        <is>
          <t>₹ Crore unless otherwise stated</t>
        </is>
      </c>
    </row>
    <row r="10">
      <c r="A10" s="2" t="inlineStr">
        <is>
          <t>Primary Valuation</t>
        </is>
      </c>
      <c r="B10" s="3" t="inlineStr">
        <is>
          <t>DCF</t>
        </is>
      </c>
    </row>
    <row r="11">
      <c r="A11" s="2" t="inlineStr">
        <is>
          <t>Secondary Valuation</t>
        </is>
      </c>
      <c r="B11" s="3" t="inlineStr">
        <is>
          <t>Peer P/E</t>
        </is>
      </c>
    </row>
    <row r="12">
      <c r="A12" s="2" t="inlineStr">
        <is>
          <t>Portfolio Capital</t>
        </is>
      </c>
      <c r="B12" s="3" t="inlineStr">
        <is>
          <t>₹10,00,000</t>
        </is>
      </c>
    </row>
    <row r="13"/>
    <row r="14"/>
    <row r="15">
      <c r="A15" s="4" t="inlineStr">
        <is>
          <t>MODEL DISCLOSURES</t>
        </is>
      </c>
    </row>
    <row r="16">
      <c r="A16" s="3" t="inlineStr">
        <is>
          <t>• Historical financials use consolidated annual-report data.</t>
        </is>
      </c>
    </row>
    <row r="17">
      <c r="A17" s="3" t="inlineStr">
        <is>
          <t>• EBITDA is analytically derived where it is not directly reported.</t>
        </is>
      </c>
    </row>
    <row r="18">
      <c r="A18" s="3" t="inlineStr">
        <is>
          <t>• Forecasts and stress scenarios are analytical assumptions, not company guidance.</t>
        </is>
      </c>
    </row>
    <row r="19">
      <c r="A19" s="3" t="inlineStr">
        <is>
          <t>• Restricted-purpose TCS Foundation/trust assets are excluded from available liquidity.</t>
        </is>
      </c>
    </row>
    <row r="20">
      <c r="A20" s="3" t="inlineStr">
        <is>
          <t>• Relative valuation currently uses P/E; unsupported peer EV/EBITDA inputs are not fabricated.</t>
        </is>
      </c>
    </row>
    <row r="21">
      <c r="A21" s="3" t="inlineStr">
        <is>
          <t>• The internal credit scorecard is not an external agency credit rating.</t>
        </is>
      </c>
    </row>
    <row r="22">
      <c r="A22" s="3" t="inlineStr">
        <is>
          <t>• FY2026 FCF and forecast FCFF are different cash-flow concepts.</t>
        </is>
      </c>
    </row>
    <row r="23">
      <c r="A23" s="3" t="inlineStr">
        <is>
          <t>• DCF is anchored to FY2026 year-end; 06-Oct-2026 price is a reference comparison.</t>
        </is>
      </c>
    </row>
  </sheetData>
  <mergeCells count="2">
    <mergeCell ref="A1:H2"/>
    <mergeCell ref="A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31" customWidth="1" min="2" max="2"/>
    <col width="13" customWidth="1" min="3" max="3"/>
    <col width="13" customWidth="1" min="4" max="4"/>
    <col width="13" customWidth="1" min="5" max="5"/>
    <col width="12" customWidth="1" min="6" max="6"/>
    <col width="12" customWidth="1" min="7" max="7"/>
    <col width="12" customWidth="1" min="8" max="8"/>
  </cols>
  <sheetData>
    <row r="1" ht="24" customHeight="1">
      <c r="A1" s="1" t="inlineStr">
        <is>
          <t>TCS Model Assumptions</t>
        </is>
      </c>
    </row>
    <row r="2" ht="24" customHeight="1"/>
    <row r="3"/>
    <row r="4">
      <c r="A4" s="5" t="inlineStr">
        <is>
          <t>Category</t>
        </is>
      </c>
      <c r="B4" s="5" t="inlineStr">
        <is>
          <t>Assumption</t>
        </is>
      </c>
      <c r="C4" s="5" t="inlineStr">
        <is>
          <t>Bear</t>
        </is>
      </c>
      <c r="D4" s="5" t="inlineStr">
        <is>
          <t>Base</t>
        </is>
      </c>
      <c r="E4" s="5" t="inlineStr">
        <is>
          <t>Bull</t>
        </is>
      </c>
      <c r="F4" s="5" t="inlineStr">
        <is>
          <t>Unit</t>
        </is>
      </c>
    </row>
    <row r="5">
      <c r="A5" s="6" t="inlineStr">
        <is>
          <t>DCF</t>
        </is>
      </c>
      <c r="B5" s="6" t="inlineStr">
        <is>
          <t>Discount Rate / WACC</t>
        </is>
      </c>
      <c r="C5" s="7" t="n">
        <v>12.25</v>
      </c>
      <c r="D5" s="7" t="n">
        <v>12.25</v>
      </c>
      <c r="E5" s="7" t="n">
        <v>12.25</v>
      </c>
      <c r="F5" s="6" t="inlineStr">
        <is>
          <t>%</t>
        </is>
      </c>
    </row>
    <row r="6">
      <c r="A6" s="6" t="inlineStr">
        <is>
          <t>DCF</t>
        </is>
      </c>
      <c r="B6" s="6" t="inlineStr">
        <is>
          <t>Terminal Growth</t>
        </is>
      </c>
      <c r="C6" s="7" t="n">
        <v>4.5</v>
      </c>
      <c r="D6" s="7" t="n">
        <v>5.5</v>
      </c>
      <c r="E6" s="7" t="n">
        <v>6</v>
      </c>
      <c r="F6" s="6" t="inlineStr">
        <is>
          <t>%</t>
        </is>
      </c>
    </row>
    <row r="7">
      <c r="A7" s="6" t="inlineStr">
        <is>
          <t>Forecast</t>
        </is>
      </c>
      <c r="B7" s="6" t="inlineStr">
        <is>
          <t>FY2027 Revenue Growth</t>
        </is>
      </c>
      <c r="C7" s="7" t="n">
        <v>3</v>
      </c>
      <c r="D7" s="7" t="n">
        <v>6</v>
      </c>
      <c r="E7" s="7" t="n">
        <v>9</v>
      </c>
      <c r="F7" s="6" t="inlineStr">
        <is>
          <t>%</t>
        </is>
      </c>
    </row>
    <row r="8">
      <c r="A8" s="6" t="inlineStr">
        <is>
          <t>Forecast</t>
        </is>
      </c>
      <c r="B8" s="6" t="inlineStr">
        <is>
          <t>FY2027 EBIT Margin</t>
        </is>
      </c>
      <c r="C8" s="7" t="n">
        <v>25.5</v>
      </c>
      <c r="D8" s="7" t="n">
        <v>26.7</v>
      </c>
      <c r="E8" s="7" t="n">
        <v>27.5</v>
      </c>
      <c r="F8" s="6" t="inlineStr">
        <is>
          <t>%</t>
        </is>
      </c>
    </row>
    <row r="9">
      <c r="A9" s="6" t="inlineStr">
        <is>
          <t>Forecast</t>
        </is>
      </c>
      <c r="B9" s="6" t="inlineStr">
        <is>
          <t>Tax Rate</t>
        </is>
      </c>
      <c r="C9" s="7" t="n">
        <v>25.5</v>
      </c>
      <c r="D9" s="7" t="n">
        <v>25.3</v>
      </c>
      <c r="E9" s="7" t="n">
        <v>25</v>
      </c>
      <c r="F9" s="6" t="inlineStr">
        <is>
          <t>%</t>
        </is>
      </c>
    </row>
    <row r="10">
      <c r="A10" s="6" t="inlineStr">
        <is>
          <t>Forecast</t>
        </is>
      </c>
      <c r="B10" s="6" t="inlineStr">
        <is>
          <t>D&amp;A / Revenue</t>
        </is>
      </c>
      <c r="C10" s="7" t="n">
        <v>2.1</v>
      </c>
      <c r="D10" s="7" t="n">
        <v>2.15</v>
      </c>
      <c r="E10" s="7" t="n">
        <v>2.2</v>
      </c>
      <c r="F10" s="6" t="inlineStr">
        <is>
          <t>%</t>
        </is>
      </c>
    </row>
    <row r="11">
      <c r="A11" s="6" t="inlineStr">
        <is>
          <t>Forecast</t>
        </is>
      </c>
      <c r="B11" s="6" t="inlineStr">
        <is>
          <t>CapEx / Revenue</t>
        </is>
      </c>
      <c r="C11" s="7" t="n">
        <v>1.6</v>
      </c>
      <c r="D11" s="7" t="n">
        <v>1.4</v>
      </c>
      <c r="E11" s="7" t="n">
        <v>1.3</v>
      </c>
      <c r="F11" s="6" t="inlineStr">
        <is>
          <t>%</t>
        </is>
      </c>
    </row>
    <row r="12">
      <c r="A12" s="6" t="inlineStr">
        <is>
          <t>Forecast</t>
        </is>
      </c>
      <c r="B12" s="6" t="inlineStr">
        <is>
          <t>Delta NWC / Revenue</t>
        </is>
      </c>
      <c r="C12" s="7" t="n">
        <v>1</v>
      </c>
      <c r="D12" s="7" t="n">
        <v>0.7</v>
      </c>
      <c r="E12" s="7" t="n">
        <v>0.5</v>
      </c>
      <c r="F12" s="6" t="inlineStr">
        <is>
          <t>%</t>
        </is>
      </c>
    </row>
    <row r="13">
      <c r="A13" s="6" t="inlineStr">
        <is>
          <t>Valuation</t>
        </is>
      </c>
      <c r="B13" s="6" t="inlineStr">
        <is>
          <t>Shares Outstanding</t>
        </is>
      </c>
      <c r="C13" s="7" t="n">
        <v>361.8087518</v>
      </c>
      <c r="D13" s="7" t="n">
        <v>361.8087518</v>
      </c>
      <c r="E13" s="7" t="n">
        <v>361.8087518</v>
      </c>
      <c r="F13" s="6" t="inlineStr">
        <is>
          <t>Crore</t>
        </is>
      </c>
    </row>
    <row r="14">
      <c r="A14" s="6" t="inlineStr">
        <is>
          <t>Valuation</t>
        </is>
      </c>
      <c r="B14" s="6" t="inlineStr">
        <is>
          <t>Adjusted Net Financial Assets</t>
        </is>
      </c>
      <c r="C14" s="8" t="n">
        <v>31240</v>
      </c>
      <c r="D14" s="8" t="n">
        <v>31240</v>
      </c>
      <c r="E14" s="8" t="n">
        <v>31240</v>
      </c>
      <c r="F14" s="6" t="inlineStr">
        <is>
          <t>₹ Cr</t>
        </is>
      </c>
    </row>
    <row r="15">
      <c r="A15" s="6" t="inlineStr">
        <is>
          <t>Market</t>
        </is>
      </c>
      <c r="B15" s="6" t="inlineStr">
        <is>
          <t>Reference Price</t>
        </is>
      </c>
      <c r="C15" s="7" t="n">
        <v>2093.4</v>
      </c>
      <c r="D15" s="7" t="n">
        <v>2093.4</v>
      </c>
      <c r="E15" s="7" t="n">
        <v>2093.4</v>
      </c>
      <c r="F15" s="6" t="inlineStr">
        <is>
          <t>₹/share</t>
        </is>
      </c>
    </row>
  </sheetData>
  <mergeCells count="1">
    <mergeCell ref="A1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18" customWidth="1" min="3" max="3"/>
    <col width="21" customWidth="1" min="4" max="4"/>
    <col width="19" customWidth="1" min="5" max="5"/>
    <col width="12" customWidth="1" min="6" max="6"/>
    <col width="12" customWidth="1" min="7" max="7"/>
    <col width="12" customWidth="1" min="8" max="8"/>
  </cols>
  <sheetData>
    <row r="1" ht="24" customHeight="1">
      <c r="A1" s="1" t="inlineStr">
        <is>
          <t>TCS Valuation Summary</t>
        </is>
      </c>
    </row>
    <row r="2" ht="24" customHeight="1"/>
    <row r="3"/>
    <row r="4">
      <c r="A4" s="4" t="inlineStr">
        <is>
          <t>MARKET REFERENCE</t>
        </is>
      </c>
    </row>
    <row r="5">
      <c r="A5" s="6" t="inlineStr">
        <is>
          <t>Reference Price</t>
        </is>
      </c>
      <c r="B5" s="9">
        <f>Assumptions!D15</f>
        <v/>
      </c>
      <c r="C5" s="10" t="n"/>
      <c r="D5" s="10" t="n"/>
      <c r="E5" s="10" t="n"/>
    </row>
    <row r="6">
      <c r="A6" s="6" t="inlineStr">
        <is>
          <t>Reference Date</t>
        </is>
      </c>
      <c r="B6" s="6" t="inlineStr">
        <is>
          <t>06-Oct-2026</t>
        </is>
      </c>
      <c r="C6" s="10" t="n"/>
      <c r="D6" s="10" t="n"/>
      <c r="E6" s="10" t="n"/>
    </row>
    <row r="7">
      <c r="A7" s="10" t="n"/>
      <c r="B7" s="10" t="n"/>
      <c r="C7" s="10" t="n"/>
      <c r="D7" s="10" t="n"/>
      <c r="E7" s="10" t="n"/>
    </row>
    <row r="8">
      <c r="A8" s="5" t="inlineStr">
        <is>
          <t>DCF SCENARIO VALUATION</t>
        </is>
      </c>
      <c r="B8" s="10" t="n"/>
      <c r="C8" s="10" t="n"/>
      <c r="D8" s="10" t="n"/>
      <c r="E8" s="10" t="n"/>
    </row>
    <row r="9">
      <c r="A9" s="5" t="inlineStr">
        <is>
          <t>Scenario</t>
        </is>
      </c>
      <c r="B9" s="5" t="inlineStr">
        <is>
          <t>Implied Value / Share</t>
        </is>
      </c>
      <c r="C9" s="5" t="inlineStr">
        <is>
          <t>Reference Price</t>
        </is>
      </c>
      <c r="D9" s="5" t="inlineStr">
        <is>
          <t>Upside / (Downside)</t>
        </is>
      </c>
      <c r="E9" s="5" t="inlineStr">
        <is>
          <t>Interpretation</t>
        </is>
      </c>
    </row>
    <row r="10">
      <c r="A10" s="6" t="inlineStr">
        <is>
          <t>Bear</t>
        </is>
      </c>
      <c r="B10" s="11" t="n">
        <v>1893.84</v>
      </c>
      <c r="C10" s="9">
        <f>Assumptions!D15</f>
        <v/>
      </c>
      <c r="D10" s="12">
        <f>B10/C10-1</f>
        <v/>
      </c>
      <c r="E10" s="6" t="inlineStr">
        <is>
          <t>Downside scenario</t>
        </is>
      </c>
    </row>
    <row r="11">
      <c r="A11" s="6" t="inlineStr">
        <is>
          <t>Base</t>
        </is>
      </c>
      <c r="B11" s="11" t="n">
        <v>2533</v>
      </c>
      <c r="C11" s="9">
        <f>Assumptions!D15</f>
        <v/>
      </c>
      <c r="D11" s="12">
        <f>B11/C11-1</f>
        <v/>
      </c>
      <c r="E11" s="6" t="inlineStr">
        <is>
          <t>Central DCF case</t>
        </is>
      </c>
    </row>
    <row r="12">
      <c r="A12" s="6" t="inlineStr">
        <is>
          <t>Bull</t>
        </is>
      </c>
      <c r="B12" s="11" t="n">
        <v>3211.57</v>
      </c>
      <c r="C12" s="9">
        <f>Assumptions!D15</f>
        <v/>
      </c>
      <c r="D12" s="12">
        <f>B12/C12-1</f>
        <v/>
      </c>
      <c r="E12" s="6" t="inlineStr">
        <is>
          <t>Upside scenario</t>
        </is>
      </c>
    </row>
    <row r="13">
      <c r="A13" s="10" t="n"/>
      <c r="B13" s="10" t="n"/>
      <c r="C13" s="10" t="n"/>
      <c r="D13" s="10" t="n"/>
      <c r="E13" s="10" t="n"/>
    </row>
    <row r="14">
      <c r="A14" s="10" t="n"/>
      <c r="B14" s="10" t="n"/>
      <c r="C14" s="10" t="n"/>
      <c r="D14" s="10" t="n"/>
      <c r="E14" s="10" t="n"/>
    </row>
    <row r="15">
      <c r="A15" s="5" t="inlineStr">
        <is>
          <t>RELATIVE VALUATION</t>
        </is>
      </c>
      <c r="B15" s="10" t="n"/>
      <c r="C15" s="10" t="n"/>
      <c r="D15" s="10" t="n"/>
      <c r="E15" s="10" t="n"/>
    </row>
    <row r="16">
      <c r="A16" s="6" t="inlineStr">
        <is>
          <t>TCS Current P/E</t>
        </is>
      </c>
      <c r="B16" s="11" t="n">
        <v>15.39</v>
      </c>
      <c r="C16" s="10" t="n"/>
      <c r="D16" s="10" t="n"/>
      <c r="E16" s="10" t="n"/>
    </row>
    <row r="17">
      <c r="A17" s="6" t="inlineStr">
        <is>
          <t>Peer Median P/E</t>
        </is>
      </c>
      <c r="B17" s="11" t="n">
        <v>16.74</v>
      </c>
      <c r="C17" s="10" t="n"/>
      <c r="D17" s="10" t="n"/>
      <c r="E17" s="10" t="n"/>
    </row>
    <row r="18">
      <c r="A18" s="6" t="inlineStr">
        <is>
          <t>Peer-Implied TCS Value</t>
        </is>
      </c>
      <c r="B18" s="11" t="n">
        <v>2277.32</v>
      </c>
      <c r="C18" s="10" t="n"/>
      <c r="D18" s="10" t="n"/>
      <c r="E18" s="10" t="n"/>
    </row>
    <row r="19">
      <c r="A19" s="6" t="inlineStr">
        <is>
          <t>Peer-Implied Upside</t>
        </is>
      </c>
      <c r="B19" s="12">
        <f>B18/$B$5-1</f>
        <v/>
      </c>
      <c r="C19" s="10" t="n"/>
      <c r="D19" s="10" t="n"/>
      <c r="E19" s="10" t="n"/>
    </row>
    <row r="20">
      <c r="A20" s="10" t="n"/>
      <c r="B20" s="10" t="n"/>
      <c r="C20" s="10" t="n"/>
      <c r="D20" s="10" t="n"/>
      <c r="E20" s="10" t="n"/>
    </row>
    <row r="21">
      <c r="A21" s="10" t="n"/>
      <c r="B21" s="10" t="n"/>
      <c r="C21" s="10" t="n"/>
      <c r="D21" s="10" t="n"/>
      <c r="E21" s="10" t="n"/>
    </row>
    <row r="22">
      <c r="A22" s="5" t="inlineStr">
        <is>
          <t>VALUATION CROSS-CHECK</t>
        </is>
      </c>
      <c r="B22" s="10" t="n"/>
      <c r="C22" s="10" t="n"/>
      <c r="D22" s="10" t="n"/>
      <c r="E22" s="10" t="n"/>
    </row>
    <row r="23">
      <c r="A23" s="6" t="inlineStr">
        <is>
          <t>DCF Base Value</t>
        </is>
      </c>
      <c r="B23" s="13">
        <f>B11</f>
        <v/>
      </c>
      <c r="C23" s="10" t="n"/>
      <c r="D23" s="10" t="n"/>
      <c r="E23" s="10" t="n"/>
    </row>
    <row r="24">
      <c r="A24" s="6" t="inlineStr">
        <is>
          <t>Relative Value</t>
        </is>
      </c>
      <c r="B24" s="13">
        <f>B18</f>
        <v/>
      </c>
      <c r="C24" s="10" t="n"/>
      <c r="D24" s="10" t="n"/>
      <c r="E24" s="10" t="n"/>
    </row>
    <row r="25">
      <c r="A25" s="6" t="inlineStr">
        <is>
          <t>Simple Cross-Check Average</t>
        </is>
      </c>
      <c r="B25" s="13">
        <f>AVERAGE(B23:B24)</f>
        <v/>
      </c>
      <c r="C25" s="10" t="n"/>
      <c r="D25" s="10" t="n"/>
      <c r="E25" s="10" t="n"/>
    </row>
    <row r="26">
      <c r="A26" s="6" t="inlineStr">
        <is>
          <t>Cross-Check Upside</t>
        </is>
      </c>
      <c r="B26" s="12">
        <f>B25/$B$5-1</f>
        <v/>
      </c>
      <c r="C26" s="10" t="n"/>
      <c r="D26" s="10" t="n"/>
      <c r="E26" s="10" t="n"/>
    </row>
  </sheetData>
  <mergeCells count="5">
    <mergeCell ref="A4:E4"/>
    <mergeCell ref="A15:E15"/>
    <mergeCell ref="A8:E8"/>
    <mergeCell ref="A1:H2"/>
    <mergeCell ref="A22:E22"/>
  </mergeCells>
  <conditionalFormatting sqref="D10:D1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3" customWidth="1" min="8" max="8"/>
    <col width="12" customWidth="1" min="9" max="9"/>
    <col width="12" customWidth="1" min="10" max="10"/>
    <col width="12" customWidth="1" min="11" max="11"/>
    <col width="16" customWidth="1" min="12" max="12"/>
    <col width="14" customWidth="1" min="13" max="13"/>
    <col width="21" customWidth="1" min="14" max="14"/>
    <col width="19" customWidth="1" min="15" max="15"/>
    <col width="21" customWidth="1" min="16" max="16"/>
    <col width="12" customWidth="1" min="17" max="17"/>
    <col width="12" customWidth="1" min="18" max="18"/>
    <col width="16" customWidth="1" min="19" max="19"/>
    <col width="12" customWidth="1" min="20" max="20"/>
    <col width="20" customWidth="1" min="21" max="21"/>
    <col width="19" customWidth="1" min="22" max="22"/>
    <col width="17" customWidth="1" min="23" max="23"/>
    <col width="16" customWidth="1" min="24" max="24"/>
    <col width="14" customWidth="1" min="25" max="25"/>
    <col width="16" customWidth="1" min="26" max="26"/>
    <col width="19" customWidth="1" min="27" max="27"/>
    <col width="17" customWidth="1" min="28" max="28"/>
    <col width="16" customWidth="1" min="29" max="29"/>
    <col width="15" customWidth="1" min="30" max="30"/>
  </cols>
  <sheetData>
    <row r="1" ht="24" customHeight="1">
      <c r="A1" s="1" t="inlineStr">
        <is>
          <t>TCS Historical Financial Performance</t>
        </is>
      </c>
    </row>
    <row r="2" ht="24" customHeight="1"/>
    <row r="3"/>
    <row r="4">
      <c r="A4" s="5" t="inlineStr">
        <is>
          <t>fiscal_year</t>
        </is>
      </c>
      <c r="B4" s="5" t="inlineStr">
        <is>
          <t>revenue</t>
        </is>
      </c>
      <c r="C4" s="5" t="inlineStr">
        <is>
          <t>ebitda</t>
        </is>
      </c>
      <c r="D4" s="5" t="inlineStr">
        <is>
          <t>da</t>
        </is>
      </c>
      <c r="E4" s="5" t="inlineStr">
        <is>
          <t>ebit</t>
        </is>
      </c>
      <c r="F4" s="5" t="inlineStr">
        <is>
          <t>finance_cost</t>
        </is>
      </c>
      <c r="G4" s="5" t="inlineStr">
        <is>
          <t>pbt</t>
        </is>
      </c>
      <c r="H4" s="5" t="inlineStr">
        <is>
          <t>tax_expense</t>
        </is>
      </c>
      <c r="I4" s="5" t="inlineStr">
        <is>
          <t>net_income</t>
        </is>
      </c>
      <c r="J4" s="5" t="inlineStr">
        <is>
          <t>eps</t>
        </is>
      </c>
      <c r="K4" s="5" t="inlineStr">
        <is>
          <t>cash</t>
        </is>
      </c>
      <c r="L4" s="5" t="inlineStr">
        <is>
          <t>current_assets</t>
        </is>
      </c>
      <c r="M4" s="5" t="inlineStr">
        <is>
          <t>total_assets</t>
        </is>
      </c>
      <c r="N4" s="5" t="inlineStr">
        <is>
          <t>current_liabilities</t>
        </is>
      </c>
      <c r="O4" s="5" t="inlineStr">
        <is>
          <t>total_liabilities</t>
        </is>
      </c>
      <c r="P4" s="5" t="inlineStr">
        <is>
          <t>shareholders_equity</t>
        </is>
      </c>
      <c r="Q4" s="5" t="inlineStr">
        <is>
          <t>cfo</t>
        </is>
      </c>
      <c r="R4" s="5" t="inlineStr">
        <is>
          <t>capex</t>
        </is>
      </c>
      <c r="S4" s="5" t="inlineStr">
        <is>
          <t>dividends_paid</t>
        </is>
      </c>
      <c r="T4" s="5" t="inlineStr">
        <is>
          <t>fcf</t>
        </is>
      </c>
      <c r="U4" s="5" t="inlineStr">
        <is>
          <t>revenue_growth_pct</t>
        </is>
      </c>
      <c r="V4" s="5" t="inlineStr">
        <is>
          <t>ebitda_margin_pct</t>
        </is>
      </c>
      <c r="W4" s="5" t="inlineStr">
        <is>
          <t>ebit_margin_pct</t>
        </is>
      </c>
      <c r="X4" s="5" t="inlineStr">
        <is>
          <t>net_margin_pct</t>
        </is>
      </c>
      <c r="Y4" s="5" t="inlineStr">
        <is>
          <t>tax_rate_pct</t>
        </is>
      </c>
      <c r="Z4" s="5" t="inlineStr">
        <is>
          <t>da_pct_revenue</t>
        </is>
      </c>
      <c r="AA4" s="5" t="inlineStr">
        <is>
          <t>capex_pct_revenue</t>
        </is>
      </c>
      <c r="AB4" s="5" t="inlineStr">
        <is>
          <t>cfo_pct_revenue</t>
        </is>
      </c>
      <c r="AC4" s="5" t="inlineStr">
        <is>
          <t>fcf_margin_pct</t>
        </is>
      </c>
      <c r="AD4" s="5" t="inlineStr">
        <is>
          <t>current_ratio</t>
        </is>
      </c>
    </row>
    <row r="5">
      <c r="A5" s="6" t="n">
        <v>2022</v>
      </c>
      <c r="B5" s="11" t="n">
        <v>191754</v>
      </c>
      <c r="C5" s="11" t="n">
        <v>57075</v>
      </c>
      <c r="D5" s="11" t="n">
        <v>4604</v>
      </c>
      <c r="E5" s="11" t="n">
        <v>52471</v>
      </c>
      <c r="F5" s="11" t="n">
        <v>784</v>
      </c>
      <c r="G5" s="11" t="n">
        <v>51687</v>
      </c>
      <c r="H5" s="11" t="n">
        <v>13238</v>
      </c>
      <c r="I5" s="11" t="n">
        <v>38449</v>
      </c>
      <c r="J5" s="11" t="n">
        <v>103.62</v>
      </c>
      <c r="K5" s="11" t="n">
        <v>12488</v>
      </c>
      <c r="L5" s="11" t="n">
        <v>108310</v>
      </c>
      <c r="M5" s="11" t="n">
        <v>141514</v>
      </c>
      <c r="N5" s="11" t="n">
        <v>42351</v>
      </c>
      <c r="O5" s="11" t="n">
        <v>51668</v>
      </c>
      <c r="P5" s="11" t="n">
        <v>89139</v>
      </c>
      <c r="Q5" s="11" t="n">
        <v>39949</v>
      </c>
      <c r="R5" s="11" t="n">
        <v>2980</v>
      </c>
      <c r="S5" s="11" t="n">
        <v>-13317</v>
      </c>
      <c r="T5" s="11" t="n">
        <v>36969</v>
      </c>
      <c r="U5" s="14" t="n"/>
      <c r="V5" s="11" t="n">
        <v>29.7647</v>
      </c>
      <c r="W5" s="11" t="n">
        <v>27.3637</v>
      </c>
      <c r="X5" s="11" t="n">
        <v>20.0512</v>
      </c>
      <c r="Y5" s="11" t="n">
        <v>25.6119</v>
      </c>
      <c r="Z5" s="11" t="n">
        <v>2.401</v>
      </c>
      <c r="AA5" s="11" t="n">
        <v>1.5541</v>
      </c>
      <c r="AB5" s="11" t="n">
        <v>20.8335</v>
      </c>
      <c r="AC5" s="11" t="n">
        <v>19.2794</v>
      </c>
      <c r="AD5" s="11" t="n">
        <v>2.5574</v>
      </c>
    </row>
    <row r="6">
      <c r="A6" s="6" t="n">
        <v>2023</v>
      </c>
      <c r="B6" s="11" t="n">
        <v>225458</v>
      </c>
      <c r="C6" s="11" t="n">
        <v>62708</v>
      </c>
      <c r="D6" s="11" t="n">
        <v>5022</v>
      </c>
      <c r="E6" s="11" t="n">
        <v>57686</v>
      </c>
      <c r="F6" s="11" t="n">
        <v>779</v>
      </c>
      <c r="G6" s="11" t="n">
        <v>56907</v>
      </c>
      <c r="H6" s="11" t="n">
        <v>14604</v>
      </c>
      <c r="I6" s="11" t="n">
        <v>42303</v>
      </c>
      <c r="J6" s="11" t="n">
        <v>115.19</v>
      </c>
      <c r="K6" s="11" t="n">
        <v>7123</v>
      </c>
      <c r="L6" s="11" t="n">
        <v>110270</v>
      </c>
      <c r="M6" s="11" t="n">
        <v>143651</v>
      </c>
      <c r="N6" s="11" t="n">
        <v>43558</v>
      </c>
      <c r="O6" s="11" t="n">
        <v>52445</v>
      </c>
      <c r="P6" s="11" t="n">
        <v>90424</v>
      </c>
      <c r="Q6" s="11" t="n">
        <v>41965</v>
      </c>
      <c r="R6" s="11" t="n">
        <v>2887</v>
      </c>
      <c r="S6" s="11" t="n">
        <v>-41347</v>
      </c>
      <c r="T6" s="11" t="n">
        <v>39078</v>
      </c>
      <c r="U6" s="11" t="n">
        <v>17.5767</v>
      </c>
      <c r="V6" s="11" t="n">
        <v>27.8136</v>
      </c>
      <c r="W6" s="11" t="n">
        <v>25.5861</v>
      </c>
      <c r="X6" s="11" t="n">
        <v>18.7631</v>
      </c>
      <c r="Y6" s="11" t="n">
        <v>25.6629</v>
      </c>
      <c r="Z6" s="11" t="n">
        <v>2.2275</v>
      </c>
      <c r="AA6" s="11" t="n">
        <v>1.2805</v>
      </c>
      <c r="AB6" s="11" t="n">
        <v>18.6132</v>
      </c>
      <c r="AC6" s="11" t="n">
        <v>17.3327</v>
      </c>
      <c r="AD6" s="11" t="n">
        <v>2.5316</v>
      </c>
    </row>
    <row r="7">
      <c r="A7" s="6" t="n">
        <v>2024</v>
      </c>
      <c r="B7" s="11" t="n">
        <v>240893</v>
      </c>
      <c r="C7" s="11" t="n">
        <v>68718</v>
      </c>
      <c r="D7" s="11" t="n">
        <v>4985</v>
      </c>
      <c r="E7" s="11" t="n">
        <v>63733</v>
      </c>
      <c r="F7" s="11" t="n">
        <v>778</v>
      </c>
      <c r="G7" s="11" t="n">
        <v>61997</v>
      </c>
      <c r="H7" s="11" t="n">
        <v>15898</v>
      </c>
      <c r="I7" s="11" t="n">
        <v>46099</v>
      </c>
      <c r="J7" s="11" t="n">
        <v>125.88</v>
      </c>
      <c r="K7" s="11" t="n">
        <v>9016</v>
      </c>
      <c r="L7" s="11" t="n">
        <v>112984</v>
      </c>
      <c r="M7" s="11" t="n">
        <v>146449</v>
      </c>
      <c r="N7" s="11" t="n">
        <v>46104</v>
      </c>
      <c r="O7" s="11" t="n">
        <v>55130</v>
      </c>
      <c r="P7" s="11" t="n">
        <v>90489</v>
      </c>
      <c r="Q7" s="11" t="n">
        <v>44338</v>
      </c>
      <c r="R7" s="11" t="n">
        <v>2644</v>
      </c>
      <c r="S7" s="11" t="n">
        <v>-25137</v>
      </c>
      <c r="T7" s="11" t="n">
        <v>41694</v>
      </c>
      <c r="U7" s="11" t="n">
        <v>6.8461</v>
      </c>
      <c r="V7" s="11" t="n">
        <v>28.5264</v>
      </c>
      <c r="W7" s="11" t="n">
        <v>26.457</v>
      </c>
      <c r="X7" s="11" t="n">
        <v>19.1367</v>
      </c>
      <c r="Y7" s="11" t="n">
        <v>25.6432</v>
      </c>
      <c r="Z7" s="11" t="n">
        <v>2.0694</v>
      </c>
      <c r="AA7" s="11" t="n">
        <v>1.0976</v>
      </c>
      <c r="AB7" s="11" t="n">
        <v>18.4057</v>
      </c>
      <c r="AC7" s="11" t="n">
        <v>17.3081</v>
      </c>
      <c r="AD7" s="11" t="n">
        <v>2.4506</v>
      </c>
    </row>
    <row r="8">
      <c r="A8" s="6" t="n">
        <v>2025</v>
      </c>
      <c r="B8" s="11" t="n">
        <v>255324</v>
      </c>
      <c r="C8" s="11" t="n">
        <v>76133</v>
      </c>
      <c r="D8" s="11" t="n">
        <v>5242</v>
      </c>
      <c r="E8" s="11" t="n">
        <v>70891</v>
      </c>
      <c r="F8" s="11" t="n">
        <v>5560</v>
      </c>
      <c r="G8" s="11" t="n">
        <v>65331</v>
      </c>
      <c r="H8" s="11" t="n">
        <v>16534</v>
      </c>
      <c r="I8" s="11" t="n">
        <v>48797</v>
      </c>
      <c r="J8" s="11" t="n">
        <v>134.19</v>
      </c>
      <c r="K8" s="11" t="n">
        <v>8342</v>
      </c>
      <c r="L8" s="11" t="n">
        <v>123011</v>
      </c>
      <c r="M8" s="11" t="n">
        <v>159629</v>
      </c>
      <c r="N8" s="11" t="n">
        <v>53001</v>
      </c>
      <c r="O8" s="11" t="n">
        <v>63858</v>
      </c>
      <c r="P8" s="11" t="n">
        <v>94756</v>
      </c>
      <c r="Q8" s="11" t="n">
        <v>48908</v>
      </c>
      <c r="R8" s="11" t="n">
        <v>3861</v>
      </c>
      <c r="S8" s="11" t="n">
        <v>-44864</v>
      </c>
      <c r="T8" s="11" t="n">
        <v>45047</v>
      </c>
      <c r="U8" s="11" t="n">
        <v>5.9906</v>
      </c>
      <c r="V8" s="11" t="n">
        <v>29.8182</v>
      </c>
      <c r="W8" s="11" t="n">
        <v>27.7651</v>
      </c>
      <c r="X8" s="11" t="n">
        <v>19.1118</v>
      </c>
      <c r="Y8" s="11" t="n">
        <v>25.308</v>
      </c>
      <c r="Z8" s="11" t="n">
        <v>2.0531</v>
      </c>
      <c r="AA8" s="11" t="n">
        <v>1.5122</v>
      </c>
      <c r="AB8" s="11" t="n">
        <v>19.1553</v>
      </c>
      <c r="AC8" s="11" t="n">
        <v>17.6431</v>
      </c>
      <c r="AD8" s="11" t="n">
        <v>2.3209</v>
      </c>
    </row>
    <row r="9">
      <c r="A9" s="6" t="n">
        <v>2026</v>
      </c>
      <c r="B9" s="11" t="n">
        <v>267021</v>
      </c>
      <c r="C9" s="11" t="n">
        <v>76800</v>
      </c>
      <c r="D9" s="11" t="n">
        <v>5560</v>
      </c>
      <c r="E9" s="11" t="n">
        <v>71240</v>
      </c>
      <c r="F9" s="11" t="n">
        <v>1227</v>
      </c>
      <c r="G9" s="11" t="n">
        <v>65487</v>
      </c>
      <c r="H9" s="11" t="n">
        <v>16033</v>
      </c>
      <c r="I9" s="11" t="n">
        <v>49454</v>
      </c>
      <c r="J9" s="11" t="n">
        <v>136.01</v>
      </c>
      <c r="K9" s="11" t="n">
        <v>6417</v>
      </c>
      <c r="L9" s="11" t="n">
        <v>135705</v>
      </c>
      <c r="M9" s="11" t="n">
        <v>182372</v>
      </c>
      <c r="N9" s="11" t="n">
        <v>60914</v>
      </c>
      <c r="O9" s="11" t="n">
        <v>73894</v>
      </c>
      <c r="P9" s="11" t="n">
        <v>107240</v>
      </c>
      <c r="Q9" s="11" t="n">
        <v>52094</v>
      </c>
      <c r="R9" s="11" t="n">
        <v>4037</v>
      </c>
      <c r="S9" s="11" t="n">
        <v>-39437</v>
      </c>
      <c r="T9" s="11" t="n">
        <v>48057</v>
      </c>
      <c r="U9" s="11" t="n">
        <v>4.5812</v>
      </c>
      <c r="V9" s="11" t="n">
        <v>28.7618</v>
      </c>
      <c r="W9" s="11" t="n">
        <v>26.6795</v>
      </c>
      <c r="X9" s="11" t="n">
        <v>18.5206</v>
      </c>
      <c r="Y9" s="11" t="n">
        <v>24.4827</v>
      </c>
      <c r="Z9" s="11" t="n">
        <v>2.0822</v>
      </c>
      <c r="AA9" s="11" t="n">
        <v>1.5119</v>
      </c>
      <c r="AB9" s="11" t="n">
        <v>19.5093</v>
      </c>
      <c r="AC9" s="11" t="n">
        <v>17.9975</v>
      </c>
      <c r="AD9" s="11" t="n">
        <v>2.2278</v>
      </c>
    </row>
  </sheetData>
  <autoFilter ref="A4:AD9"/>
  <mergeCells count="1">
    <mergeCell ref="A1:H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3" customWidth="1" min="1" max="1"/>
    <col width="13" customWidth="1" min="2" max="2"/>
    <col width="12" customWidth="1" min="3" max="3"/>
    <col width="20" customWidth="1" min="4" max="4"/>
    <col width="17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7" customWidth="1" min="13" max="13"/>
  </cols>
  <sheetData>
    <row r="1" ht="24" customHeight="1">
      <c r="A1" s="1" t="inlineStr">
        <is>
          <t>TCS Bear / Base / Bull Forecast</t>
        </is>
      </c>
    </row>
    <row r="2" ht="24" customHeight="1"/>
    <row r="3"/>
    <row r="4">
      <c r="A4" s="5" t="inlineStr">
        <is>
          <t>scenario</t>
        </is>
      </c>
      <c r="B4" s="5" t="inlineStr">
        <is>
          <t>fiscal_year</t>
        </is>
      </c>
      <c r="C4" s="5" t="inlineStr">
        <is>
          <t>revenue</t>
        </is>
      </c>
      <c r="D4" s="5" t="inlineStr">
        <is>
          <t>revenue_growth_pct</t>
        </is>
      </c>
      <c r="E4" s="5" t="inlineStr">
        <is>
          <t>ebit_margin_pct</t>
        </is>
      </c>
      <c r="F4" s="5" t="inlineStr">
        <is>
          <t>ebit</t>
        </is>
      </c>
      <c r="G4" s="5" t="inlineStr">
        <is>
          <t>tax_rate_pct</t>
        </is>
      </c>
      <c r="H4" s="5" t="inlineStr">
        <is>
          <t>nopat</t>
        </is>
      </c>
      <c r="I4" s="5" t="inlineStr">
        <is>
          <t>da</t>
        </is>
      </c>
      <c r="J4" s="5" t="inlineStr">
        <is>
          <t>capex</t>
        </is>
      </c>
      <c r="K4" s="5" t="inlineStr">
        <is>
          <t>delta_nwc</t>
        </is>
      </c>
      <c r="L4" s="5" t="inlineStr">
        <is>
          <t>fcff</t>
        </is>
      </c>
      <c r="M4" s="5" t="inlineStr">
        <is>
          <t>fcff_margin_pct</t>
        </is>
      </c>
    </row>
    <row r="5">
      <c r="A5" s="6" t="inlineStr">
        <is>
          <t>Bear</t>
        </is>
      </c>
      <c r="B5" s="6" t="n">
        <v>2027</v>
      </c>
      <c r="C5" s="11" t="n">
        <v>275031.63</v>
      </c>
      <c r="D5" s="11" t="n">
        <v>3</v>
      </c>
      <c r="E5" s="11" t="n">
        <v>25.5</v>
      </c>
      <c r="F5" s="11" t="n">
        <v>70133.07000000001</v>
      </c>
      <c r="G5" s="11" t="n">
        <v>25.5</v>
      </c>
      <c r="H5" s="11" t="n">
        <v>52249.13</v>
      </c>
      <c r="I5" s="11" t="n">
        <v>5775.66</v>
      </c>
      <c r="J5" s="11" t="n">
        <v>4400.51</v>
      </c>
      <c r="K5" s="11" t="n">
        <v>2750.32</v>
      </c>
      <c r="L5" s="11" t="n">
        <v>50873.98</v>
      </c>
      <c r="M5" s="11" t="n">
        <v>18.5</v>
      </c>
    </row>
    <row r="6">
      <c r="A6" s="6" t="inlineStr">
        <is>
          <t>Bear</t>
        </is>
      </c>
      <c r="B6" s="6" t="n">
        <v>2028</v>
      </c>
      <c r="C6" s="11" t="n">
        <v>284657.74</v>
      </c>
      <c r="D6" s="11" t="n">
        <v>3.5</v>
      </c>
      <c r="E6" s="11" t="n">
        <v>25.5</v>
      </c>
      <c r="F6" s="11" t="n">
        <v>72587.72</v>
      </c>
      <c r="G6" s="11" t="n">
        <v>25.5</v>
      </c>
      <c r="H6" s="11" t="n">
        <v>54077.85</v>
      </c>
      <c r="I6" s="11" t="n">
        <v>5977.81</v>
      </c>
      <c r="J6" s="11" t="n">
        <v>4554.52</v>
      </c>
      <c r="K6" s="11" t="n">
        <v>2846.58</v>
      </c>
      <c r="L6" s="11" t="n">
        <v>52654.56</v>
      </c>
      <c r="M6" s="11" t="n">
        <v>18.5</v>
      </c>
    </row>
    <row r="7">
      <c r="A7" s="6" t="inlineStr">
        <is>
          <t>Bear</t>
        </is>
      </c>
      <c r="B7" s="6" t="n">
        <v>2029</v>
      </c>
      <c r="C7" s="11" t="n">
        <v>296044.05</v>
      </c>
      <c r="D7" s="11" t="n">
        <v>4</v>
      </c>
      <c r="E7" s="11" t="n">
        <v>25.8</v>
      </c>
      <c r="F7" s="11" t="n">
        <v>76379.36</v>
      </c>
      <c r="G7" s="11" t="n">
        <v>25.5</v>
      </c>
      <c r="H7" s="11" t="n">
        <v>56902.63</v>
      </c>
      <c r="I7" s="11" t="n">
        <v>6216.92</v>
      </c>
      <c r="J7" s="11" t="n">
        <v>4736.7</v>
      </c>
      <c r="K7" s="11" t="n">
        <v>2960.44</v>
      </c>
      <c r="L7" s="11" t="n">
        <v>55422.41</v>
      </c>
      <c r="M7" s="11" t="n">
        <v>18.72</v>
      </c>
    </row>
    <row r="8">
      <c r="A8" s="6" t="inlineStr">
        <is>
          <t>Bear</t>
        </is>
      </c>
      <c r="B8" s="6" t="n">
        <v>2030</v>
      </c>
      <c r="C8" s="11" t="n">
        <v>307885.81</v>
      </c>
      <c r="D8" s="11" t="n">
        <v>4</v>
      </c>
      <c r="E8" s="11" t="n">
        <v>26</v>
      </c>
      <c r="F8" s="11" t="n">
        <v>80050.31</v>
      </c>
      <c r="G8" s="11" t="n">
        <v>25.5</v>
      </c>
      <c r="H8" s="11" t="n">
        <v>59637.48</v>
      </c>
      <c r="I8" s="11" t="n">
        <v>6465.6</v>
      </c>
      <c r="J8" s="11" t="n">
        <v>4926.17</v>
      </c>
      <c r="K8" s="11" t="n">
        <v>3078.86</v>
      </c>
      <c r="L8" s="11" t="n">
        <v>58098.05</v>
      </c>
      <c r="M8" s="11" t="n">
        <v>18.87</v>
      </c>
    </row>
    <row r="9">
      <c r="A9" s="6" t="inlineStr">
        <is>
          <t>Bear</t>
        </is>
      </c>
      <c r="B9" s="6" t="n">
        <v>2031</v>
      </c>
      <c r="C9" s="11" t="n">
        <v>320201.24</v>
      </c>
      <c r="D9" s="11" t="n">
        <v>4</v>
      </c>
      <c r="E9" s="11" t="n">
        <v>26</v>
      </c>
      <c r="F9" s="11" t="n">
        <v>83252.32000000001</v>
      </c>
      <c r="G9" s="11" t="n">
        <v>25.5</v>
      </c>
      <c r="H9" s="11" t="n">
        <v>62022.98</v>
      </c>
      <c r="I9" s="11" t="n">
        <v>6724.23</v>
      </c>
      <c r="J9" s="11" t="n">
        <v>5123.22</v>
      </c>
      <c r="K9" s="11" t="n">
        <v>3202.01</v>
      </c>
      <c r="L9" s="11" t="n">
        <v>60421.97</v>
      </c>
      <c r="M9" s="11" t="n">
        <v>18.87</v>
      </c>
    </row>
    <row r="10">
      <c r="A10" s="6" t="inlineStr">
        <is>
          <t>Base</t>
        </is>
      </c>
      <c r="B10" s="6" t="n">
        <v>2027</v>
      </c>
      <c r="C10" s="11" t="n">
        <v>283042.26</v>
      </c>
      <c r="D10" s="11" t="n">
        <v>6</v>
      </c>
      <c r="E10" s="11" t="n">
        <v>26.7</v>
      </c>
      <c r="F10" s="11" t="n">
        <v>75572.28</v>
      </c>
      <c r="G10" s="11" t="n">
        <v>25.3</v>
      </c>
      <c r="H10" s="11" t="n">
        <v>56452.5</v>
      </c>
      <c r="I10" s="11" t="n">
        <v>6085.41</v>
      </c>
      <c r="J10" s="11" t="n">
        <v>3962.59</v>
      </c>
      <c r="K10" s="11" t="n">
        <v>1981.3</v>
      </c>
      <c r="L10" s="11" t="n">
        <v>56594.02</v>
      </c>
      <c r="M10" s="11" t="n">
        <v>19.99</v>
      </c>
    </row>
    <row r="11">
      <c r="A11" s="6" t="inlineStr">
        <is>
          <t>Base</t>
        </is>
      </c>
      <c r="B11" s="6" t="n">
        <v>2028</v>
      </c>
      <c r="C11" s="11" t="n">
        <v>301440.01</v>
      </c>
      <c r="D11" s="11" t="n">
        <v>6.5</v>
      </c>
      <c r="E11" s="11" t="n">
        <v>26.8</v>
      </c>
      <c r="F11" s="11" t="n">
        <v>80785.92</v>
      </c>
      <c r="G11" s="11" t="n">
        <v>25.3</v>
      </c>
      <c r="H11" s="11" t="n">
        <v>60347.08</v>
      </c>
      <c r="I11" s="11" t="n">
        <v>6480.96</v>
      </c>
      <c r="J11" s="11" t="n">
        <v>4220.16</v>
      </c>
      <c r="K11" s="11" t="n">
        <v>2110.08</v>
      </c>
      <c r="L11" s="11" t="n">
        <v>60497.8</v>
      </c>
      <c r="M11" s="11" t="n">
        <v>20.07</v>
      </c>
    </row>
    <row r="12">
      <c r="A12" s="6" t="inlineStr">
        <is>
          <t>Base</t>
        </is>
      </c>
      <c r="B12" s="6" t="n">
        <v>2029</v>
      </c>
      <c r="C12" s="11" t="n">
        <v>322540.81</v>
      </c>
      <c r="D12" s="11" t="n">
        <v>7</v>
      </c>
      <c r="E12" s="11" t="n">
        <v>27</v>
      </c>
      <c r="F12" s="11" t="n">
        <v>87086.02</v>
      </c>
      <c r="G12" s="11" t="n">
        <v>25.3</v>
      </c>
      <c r="H12" s="11" t="n">
        <v>65053.26</v>
      </c>
      <c r="I12" s="11" t="n">
        <v>6934.63</v>
      </c>
      <c r="J12" s="11" t="n">
        <v>4515.57</v>
      </c>
      <c r="K12" s="11" t="n">
        <v>2257.79</v>
      </c>
      <c r="L12" s="11" t="n">
        <v>65214.53</v>
      </c>
      <c r="M12" s="11" t="n">
        <v>20.22</v>
      </c>
    </row>
    <row r="13">
      <c r="A13" s="6" t="inlineStr">
        <is>
          <t>Base</t>
        </is>
      </c>
      <c r="B13" s="6" t="n">
        <v>2030</v>
      </c>
      <c r="C13" s="11" t="n">
        <v>345118.66</v>
      </c>
      <c r="D13" s="11" t="n">
        <v>7</v>
      </c>
      <c r="E13" s="11" t="n">
        <v>27</v>
      </c>
      <c r="F13" s="11" t="n">
        <v>93182.03999999999</v>
      </c>
      <c r="G13" s="11" t="n">
        <v>25.3</v>
      </c>
      <c r="H13" s="11" t="n">
        <v>69606.98</v>
      </c>
      <c r="I13" s="11" t="n">
        <v>7420.05</v>
      </c>
      <c r="J13" s="11" t="n">
        <v>4831.66</v>
      </c>
      <c r="K13" s="11" t="n">
        <v>2415.83</v>
      </c>
      <c r="L13" s="11" t="n">
        <v>69779.53999999999</v>
      </c>
      <c r="M13" s="11" t="n">
        <v>20.22</v>
      </c>
    </row>
    <row r="14">
      <c r="A14" s="6" t="inlineStr">
        <is>
          <t>Base</t>
        </is>
      </c>
      <c r="B14" s="6" t="n">
        <v>2031</v>
      </c>
      <c r="C14" s="11" t="n">
        <v>369276.97</v>
      </c>
      <c r="D14" s="11" t="n">
        <v>7</v>
      </c>
      <c r="E14" s="11" t="n">
        <v>27</v>
      </c>
      <c r="F14" s="11" t="n">
        <v>99704.78</v>
      </c>
      <c r="G14" s="11" t="n">
        <v>25.3</v>
      </c>
      <c r="H14" s="11" t="n">
        <v>74479.47</v>
      </c>
      <c r="I14" s="11" t="n">
        <v>7939.45</v>
      </c>
      <c r="J14" s="11" t="n">
        <v>5169.88</v>
      </c>
      <c r="K14" s="11" t="n">
        <v>2584.94</v>
      </c>
      <c r="L14" s="11" t="n">
        <v>74664.11</v>
      </c>
      <c r="M14" s="11" t="n">
        <v>20.22</v>
      </c>
    </row>
    <row r="15">
      <c r="A15" s="6" t="inlineStr">
        <is>
          <t>Bull</t>
        </is>
      </c>
      <c r="B15" s="6" t="n">
        <v>2027</v>
      </c>
      <c r="C15" s="11" t="n">
        <v>291052.89</v>
      </c>
      <c r="D15" s="11" t="n">
        <v>9</v>
      </c>
      <c r="E15" s="11" t="n">
        <v>27.5</v>
      </c>
      <c r="F15" s="11" t="n">
        <v>80039.53999999999</v>
      </c>
      <c r="G15" s="11" t="n">
        <v>25</v>
      </c>
      <c r="H15" s="11" t="n">
        <v>60029.66</v>
      </c>
      <c r="I15" s="11" t="n">
        <v>6403.16</v>
      </c>
      <c r="J15" s="11" t="n">
        <v>3783.69</v>
      </c>
      <c r="K15" s="11" t="n">
        <v>1455.26</v>
      </c>
      <c r="L15" s="11" t="n">
        <v>61193.87</v>
      </c>
      <c r="M15" s="11" t="n">
        <v>21.03</v>
      </c>
    </row>
    <row r="16">
      <c r="A16" s="6" t="inlineStr">
        <is>
          <t>Bull</t>
        </is>
      </c>
      <c r="B16" s="6" t="n">
        <v>2028</v>
      </c>
      <c r="C16" s="11" t="n">
        <v>318702.91</v>
      </c>
      <c r="D16" s="11" t="n">
        <v>9.5</v>
      </c>
      <c r="E16" s="11" t="n">
        <v>27.8</v>
      </c>
      <c r="F16" s="11" t="n">
        <v>88599.41</v>
      </c>
      <c r="G16" s="11" t="n">
        <v>25</v>
      </c>
      <c r="H16" s="11" t="n">
        <v>66449.56</v>
      </c>
      <c r="I16" s="11" t="n">
        <v>7011.46</v>
      </c>
      <c r="J16" s="11" t="n">
        <v>4143.14</v>
      </c>
      <c r="K16" s="11" t="n">
        <v>1593.51</v>
      </c>
      <c r="L16" s="11" t="n">
        <v>67724.37</v>
      </c>
      <c r="M16" s="11" t="n">
        <v>21.25</v>
      </c>
    </row>
    <row r="17">
      <c r="A17" s="6" t="inlineStr">
        <is>
          <t>Bull</t>
        </is>
      </c>
      <c r="B17" s="6" t="n">
        <v>2029</v>
      </c>
      <c r="C17" s="11" t="n">
        <v>350573.21</v>
      </c>
      <c r="D17" s="11" t="n">
        <v>10</v>
      </c>
      <c r="E17" s="11" t="n">
        <v>28</v>
      </c>
      <c r="F17" s="11" t="n">
        <v>98160.5</v>
      </c>
      <c r="G17" s="11" t="n">
        <v>25</v>
      </c>
      <c r="H17" s="11" t="n">
        <v>73620.37</v>
      </c>
      <c r="I17" s="11" t="n">
        <v>7712.61</v>
      </c>
      <c r="J17" s="11" t="n">
        <v>4557.45</v>
      </c>
      <c r="K17" s="11" t="n">
        <v>1752.87</v>
      </c>
      <c r="L17" s="11" t="n">
        <v>75022.67</v>
      </c>
      <c r="M17" s="11" t="n">
        <v>21.4</v>
      </c>
    </row>
    <row r="18">
      <c r="A18" s="6" t="inlineStr">
        <is>
          <t>Bull</t>
        </is>
      </c>
      <c r="B18" s="6" t="n">
        <v>2030</v>
      </c>
      <c r="C18" s="11" t="n">
        <v>385630.53</v>
      </c>
      <c r="D18" s="11" t="n">
        <v>10</v>
      </c>
      <c r="E18" s="11" t="n">
        <v>28.2</v>
      </c>
      <c r="F18" s="11" t="n">
        <v>108747.81</v>
      </c>
      <c r="G18" s="11" t="n">
        <v>25</v>
      </c>
      <c r="H18" s="11" t="n">
        <v>81560.86</v>
      </c>
      <c r="I18" s="11" t="n">
        <v>8483.870000000001</v>
      </c>
      <c r="J18" s="11" t="n">
        <v>5013.2</v>
      </c>
      <c r="K18" s="11" t="n">
        <v>1928.15</v>
      </c>
      <c r="L18" s="11" t="n">
        <v>83103.38</v>
      </c>
      <c r="M18" s="11" t="n">
        <v>21.55</v>
      </c>
    </row>
    <row r="19">
      <c r="A19" s="6" t="inlineStr">
        <is>
          <t>Bull</t>
        </is>
      </c>
      <c r="B19" s="6" t="n">
        <v>2031</v>
      </c>
      <c r="C19" s="11" t="n">
        <v>422265.43</v>
      </c>
      <c r="D19" s="11" t="n">
        <v>9.5</v>
      </c>
      <c r="E19" s="11" t="n">
        <v>28.2</v>
      </c>
      <c r="F19" s="11" t="n">
        <v>119078.85</v>
      </c>
      <c r="G19" s="11" t="n">
        <v>25</v>
      </c>
      <c r="H19" s="11" t="n">
        <v>89309.14</v>
      </c>
      <c r="I19" s="11" t="n">
        <v>9289.84</v>
      </c>
      <c r="J19" s="11" t="n">
        <v>5489.45</v>
      </c>
      <c r="K19" s="11" t="n">
        <v>2111.33</v>
      </c>
      <c r="L19" s="11" t="n">
        <v>90998.2</v>
      </c>
      <c r="M19" s="11" t="n">
        <v>21.55</v>
      </c>
    </row>
  </sheetData>
  <autoFilter ref="A4:M19"/>
  <mergeCells count="1">
    <mergeCell ref="A1:H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21" customWidth="1" min="3" max="3"/>
    <col width="18" customWidth="1" min="4" max="4"/>
    <col width="15" customWidth="1" min="5" max="5"/>
    <col width="16" customWidth="1" min="6" max="6"/>
    <col width="19" customWidth="1" min="7" max="7"/>
    <col width="18" customWidth="1" min="8" max="8"/>
    <col width="23" customWidth="1" min="9" max="9"/>
    <col width="31" customWidth="1" min="10" max="10"/>
    <col width="21" customWidth="1" min="11" max="11"/>
    <col width="26" customWidth="1" min="12" max="12"/>
    <col width="25" customWidth="1" min="13" max="13"/>
    <col width="24" customWidth="1" min="14" max="14"/>
    <col width="21" customWidth="1" min="15" max="15"/>
  </cols>
  <sheetData>
    <row r="1" ht="24" customHeight="1">
      <c r="A1" s="1" t="inlineStr">
        <is>
          <t>TCS DCF Equity Valuation</t>
        </is>
      </c>
    </row>
    <row r="2" ht="24" customHeight="1"/>
    <row r="3"/>
    <row r="4">
      <c r="A4" s="5" t="inlineStr">
        <is>
          <t>scenario</t>
        </is>
      </c>
      <c r="B4" s="5" t="inlineStr">
        <is>
          <t>wacc_pct</t>
        </is>
      </c>
      <c r="C4" s="5" t="inlineStr">
        <is>
          <t>terminal_growth_pct</t>
        </is>
      </c>
      <c r="D4" s="5" t="inlineStr">
        <is>
          <t>pv_explicit_fcff</t>
        </is>
      </c>
      <c r="E4" s="5" t="inlineStr">
        <is>
          <t>terminal_fcff</t>
        </is>
      </c>
      <c r="F4" s="5" t="inlineStr">
        <is>
          <t>terminal_value</t>
        </is>
      </c>
      <c r="G4" s="5" t="inlineStr">
        <is>
          <t>pv_terminal_value</t>
        </is>
      </c>
      <c r="H4" s="5" t="inlineStr">
        <is>
          <t>enterprise_value</t>
        </is>
      </c>
      <c r="I4" s="5" t="inlineStr">
        <is>
          <t>terminal_value_pct_ev</t>
        </is>
      </c>
      <c r="J4" s="5" t="inlineStr">
        <is>
          <t>adjusted_net_financial_assets</t>
        </is>
      </c>
      <c r="K4" s="5" t="inlineStr">
        <is>
          <t>parent_equity_value</t>
        </is>
      </c>
      <c r="L4" s="5" t="inlineStr">
        <is>
          <t>shares_outstanding_crore</t>
        </is>
      </c>
      <c r="M4" s="5" t="inlineStr">
        <is>
          <t>implied_value_per_share</t>
        </is>
      </c>
      <c r="N4" s="5" t="inlineStr">
        <is>
          <t>reference_market_price</t>
        </is>
      </c>
      <c r="O4" s="5" t="inlineStr">
        <is>
          <t>upside_downside_pct</t>
        </is>
      </c>
    </row>
    <row r="5">
      <c r="A5" s="6" t="inlineStr">
        <is>
          <t>Bear</t>
        </is>
      </c>
      <c r="B5" s="11" t="n">
        <v>12.25</v>
      </c>
      <c r="C5" s="11" t="n">
        <v>4.5</v>
      </c>
      <c r="D5" s="11" t="n">
        <v>196796.22</v>
      </c>
      <c r="E5" s="11" t="n">
        <v>63140.96</v>
      </c>
      <c r="F5" s="11" t="n">
        <v>814722.05</v>
      </c>
      <c r="G5" s="11" t="n">
        <v>457170</v>
      </c>
      <c r="H5" s="11" t="n">
        <v>653966.22</v>
      </c>
      <c r="I5" s="11" t="n">
        <v>69.91</v>
      </c>
      <c r="J5" s="11" t="n">
        <v>31240</v>
      </c>
      <c r="K5" s="11" t="n">
        <v>685206.22</v>
      </c>
      <c r="L5" s="11" t="n">
        <v>361.81</v>
      </c>
      <c r="M5" s="11" t="n">
        <v>1893.84</v>
      </c>
      <c r="N5" s="11" t="n">
        <v>2093.4</v>
      </c>
      <c r="O5" s="11" t="n">
        <v>-9.529999999999999</v>
      </c>
    </row>
    <row r="6">
      <c r="A6" s="6" t="inlineStr">
        <is>
          <t>Base</t>
        </is>
      </c>
      <c r="B6" s="11" t="n">
        <v>12.25</v>
      </c>
      <c r="C6" s="11" t="n">
        <v>5.5</v>
      </c>
      <c r="D6" s="11" t="n">
        <v>230389.83</v>
      </c>
      <c r="E6" s="11" t="n">
        <v>78770.64</v>
      </c>
      <c r="F6" s="11" t="n">
        <v>1166972.39</v>
      </c>
      <c r="G6" s="11" t="n">
        <v>654830.4</v>
      </c>
      <c r="H6" s="11" t="n">
        <v>885220.22</v>
      </c>
      <c r="I6" s="11" t="n">
        <v>73.97</v>
      </c>
      <c r="J6" s="11" t="n">
        <v>31240</v>
      </c>
      <c r="K6" s="11" t="n">
        <v>916460.22</v>
      </c>
      <c r="L6" s="11" t="n">
        <v>361.81</v>
      </c>
      <c r="M6" s="11" t="n">
        <v>2533</v>
      </c>
      <c r="N6" s="11" t="n">
        <v>2093.4</v>
      </c>
      <c r="O6" s="11" t="n">
        <v>21</v>
      </c>
    </row>
    <row r="7">
      <c r="A7" s="6" t="inlineStr">
        <is>
          <t>Bull</t>
        </is>
      </c>
      <c r="B7" s="11" t="n">
        <v>12.25</v>
      </c>
      <c r="C7" s="11" t="n">
        <v>6</v>
      </c>
      <c r="D7" s="11" t="n">
        <v>264715.74</v>
      </c>
      <c r="E7" s="11" t="n">
        <v>96458.09</v>
      </c>
      <c r="F7" s="11" t="n">
        <v>1543329.47</v>
      </c>
      <c r="G7" s="11" t="n">
        <v>866017.97</v>
      </c>
      <c r="H7" s="11" t="n">
        <v>1130733.7</v>
      </c>
      <c r="I7" s="11" t="n">
        <v>76.59</v>
      </c>
      <c r="J7" s="11" t="n">
        <v>31240</v>
      </c>
      <c r="K7" s="11" t="n">
        <v>1161973.7</v>
      </c>
      <c r="L7" s="11" t="n">
        <v>361.81</v>
      </c>
      <c r="M7" s="11" t="n">
        <v>3211.57</v>
      </c>
      <c r="N7" s="11" t="n">
        <v>2093.4</v>
      </c>
      <c r="O7" s="11" t="n">
        <v>53.41</v>
      </c>
    </row>
  </sheetData>
  <autoFilter ref="A4:O7"/>
  <mergeCells count="1">
    <mergeCell ref="A1:H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1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4" customHeight="1">
      <c r="A1" s="1" t="inlineStr">
        <is>
          <t>TCS DCF Per-Share Sensitivity</t>
        </is>
      </c>
    </row>
    <row r="2" ht="24" customHeight="1"/>
    <row r="3"/>
    <row r="4">
      <c r="A4" s="5" t="inlineStr">
        <is>
          <t>WACC %</t>
        </is>
      </c>
      <c r="B4" s="5" t="inlineStr">
        <is>
          <t>g=3.5%</t>
        </is>
      </c>
      <c r="C4" s="5" t="inlineStr">
        <is>
          <t>g=4.5%</t>
        </is>
      </c>
      <c r="D4" s="5" t="inlineStr">
        <is>
          <t>g=5.5%</t>
        </is>
      </c>
      <c r="E4" s="5" t="inlineStr">
        <is>
          <t>g=6.5%</t>
        </is>
      </c>
      <c r="F4" s="5" t="inlineStr">
        <is>
          <t>g=7.5%</t>
        </is>
      </c>
    </row>
    <row r="5">
      <c r="A5" s="11" t="n">
        <v>10.25</v>
      </c>
      <c r="B5" s="11" t="n">
        <v>2700.08</v>
      </c>
      <c r="C5" s="11" t="n">
        <v>3059.95</v>
      </c>
      <c r="D5" s="11" t="n">
        <v>3571.35</v>
      </c>
      <c r="E5" s="11" t="n">
        <v>4355.49</v>
      </c>
      <c r="F5" s="11" t="n">
        <v>5709.91</v>
      </c>
    </row>
    <row r="6">
      <c r="A6" s="11" t="n">
        <v>11.25</v>
      </c>
      <c r="B6" s="11" t="n">
        <v>2357.19</v>
      </c>
      <c r="C6" s="11" t="n">
        <v>2614.72</v>
      </c>
      <c r="D6" s="11" t="n">
        <v>2961.82</v>
      </c>
      <c r="E6" s="11" t="n">
        <v>3455.08</v>
      </c>
      <c r="F6" s="11" t="n">
        <v>4211.4</v>
      </c>
    </row>
    <row r="7">
      <c r="A7" s="11" t="n">
        <v>12.25</v>
      </c>
      <c r="B7" s="11" t="n">
        <v>2092.84</v>
      </c>
      <c r="C7" s="11" t="n">
        <v>2284.52</v>
      </c>
      <c r="D7" s="11" t="n">
        <v>2533</v>
      </c>
      <c r="E7" s="11" t="n">
        <v>2867.9</v>
      </c>
      <c r="F7" s="11" t="n">
        <v>3343.81</v>
      </c>
    </row>
    <row r="8">
      <c r="A8" s="11" t="n">
        <v>13.25</v>
      </c>
      <c r="B8" s="11" t="n">
        <v>1882.87</v>
      </c>
      <c r="C8" s="11" t="n">
        <v>2029.92</v>
      </c>
      <c r="D8" s="11" t="n">
        <v>2214.92</v>
      </c>
      <c r="E8" s="11" t="n">
        <v>2454.73</v>
      </c>
      <c r="F8" s="11" t="n">
        <v>2777.96</v>
      </c>
    </row>
    <row r="9">
      <c r="A9" s="11" t="n">
        <v>14.25</v>
      </c>
      <c r="B9" s="11" t="n">
        <v>1712.09</v>
      </c>
      <c r="C9" s="11" t="n">
        <v>1827.65</v>
      </c>
      <c r="D9" s="11" t="n">
        <v>1969.62</v>
      </c>
      <c r="E9" s="11" t="n">
        <v>2148.22</v>
      </c>
      <c r="F9" s="11" t="n">
        <v>2379.75</v>
      </c>
    </row>
  </sheetData>
  <autoFilter ref="A4:F9"/>
  <mergeCells count="1">
    <mergeCell ref="A1:H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3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20" customWidth="1" min="12" max="12"/>
    <col width="19" customWidth="1" min="13" max="13"/>
    <col width="17" customWidth="1" min="14" max="14"/>
    <col width="16" customWidth="1" min="15" max="15"/>
    <col width="16" customWidth="1" min="16" max="16"/>
    <col width="16" customWidth="1" min="17" max="17"/>
    <col width="12" customWidth="1" min="18" max="18"/>
    <col width="20" customWidth="1" min="19" max="19"/>
    <col width="21" customWidth="1" min="20" max="20"/>
  </cols>
  <sheetData>
    <row r="1" ht="24" customHeight="1">
      <c r="A1" s="1" t="inlineStr">
        <is>
          <t>FY2026 Peer Relative Valuation</t>
        </is>
      </c>
    </row>
    <row r="2" ht="24" customHeight="1"/>
    <row r="3"/>
    <row r="4">
      <c r="A4" s="5" t="inlineStr">
        <is>
          <t>symbol</t>
        </is>
      </c>
      <c r="B4" s="5" t="inlineStr">
        <is>
          <t>fiscal_year</t>
        </is>
      </c>
      <c r="C4" s="5" t="inlineStr">
        <is>
          <t>trade_date</t>
        </is>
      </c>
      <c r="D4" s="5" t="inlineStr">
        <is>
          <t>close_price</t>
        </is>
      </c>
      <c r="E4" s="5" t="inlineStr">
        <is>
          <t>revenue</t>
        </is>
      </c>
      <c r="F4" s="5" t="inlineStr">
        <is>
          <t>ebitda</t>
        </is>
      </c>
      <c r="G4" s="5" t="inlineStr">
        <is>
          <t>ebit</t>
        </is>
      </c>
      <c r="H4" s="5" t="inlineStr">
        <is>
          <t>net_income</t>
        </is>
      </c>
      <c r="I4" s="5" t="inlineStr">
        <is>
          <t>eps</t>
        </is>
      </c>
      <c r="J4" s="5" t="inlineStr">
        <is>
          <t>free_cash_flow</t>
        </is>
      </c>
      <c r="K4" s="5" t="inlineStr">
        <is>
          <t>pe_ratio</t>
        </is>
      </c>
      <c r="L4" s="5" t="inlineStr">
        <is>
          <t>earnings_yield_pct</t>
        </is>
      </c>
      <c r="M4" s="5" t="inlineStr">
        <is>
          <t>ebitda_margin_pct</t>
        </is>
      </c>
      <c r="N4" s="5" t="inlineStr">
        <is>
          <t>ebit_margin_pct</t>
        </is>
      </c>
      <c r="O4" s="5" t="inlineStr">
        <is>
          <t>net_margin_pct</t>
        </is>
      </c>
      <c r="P4" s="5" t="inlineStr">
        <is>
          <t>fcf_margin_pct</t>
        </is>
      </c>
      <c r="Q4" s="5" t="inlineStr">
        <is>
          <t>fcf_to_pat_pct</t>
        </is>
      </c>
      <c r="R4" s="5" t="inlineStr">
        <is>
          <t>pe_rank</t>
        </is>
      </c>
      <c r="S4" s="5" t="inlineStr">
        <is>
          <t>ebitda_margin_rank</t>
        </is>
      </c>
      <c r="T4" s="5" t="inlineStr">
        <is>
          <t>fcf_conversion_rank</t>
        </is>
      </c>
    </row>
    <row r="5">
      <c r="A5" s="6" t="inlineStr">
        <is>
          <t>HCLTECH</t>
        </is>
      </c>
      <c r="B5" s="6" t="n">
        <v>2026</v>
      </c>
      <c r="C5" s="6" t="inlineStr">
        <is>
          <t>2026-10-06</t>
        </is>
      </c>
      <c r="D5" s="11" t="n">
        <v>1191.8</v>
      </c>
      <c r="E5" s="11" t="n">
        <v>130144</v>
      </c>
      <c r="F5" s="11" t="n">
        <v>28282</v>
      </c>
      <c r="G5" s="11" t="n">
        <v>23927</v>
      </c>
      <c r="H5" s="11" t="n">
        <v>16652</v>
      </c>
      <c r="I5" s="11" t="n">
        <v>61.46</v>
      </c>
      <c r="J5" s="11" t="n">
        <v>18553</v>
      </c>
      <c r="K5" s="11" t="n">
        <v>19.39</v>
      </c>
      <c r="L5" s="11" t="n">
        <v>5.16</v>
      </c>
      <c r="M5" s="11" t="n">
        <v>21.73</v>
      </c>
      <c r="N5" s="11" t="n">
        <v>18.39</v>
      </c>
      <c r="O5" s="11" t="n">
        <v>12.8</v>
      </c>
      <c r="P5" s="11" t="n">
        <v>14.26</v>
      </c>
      <c r="Q5" s="11" t="n">
        <v>111.42</v>
      </c>
      <c r="R5" s="11" t="n">
        <v>3</v>
      </c>
      <c r="S5" s="11" t="n">
        <v>3</v>
      </c>
      <c r="T5" s="11" t="n">
        <v>1</v>
      </c>
    </row>
    <row r="6">
      <c r="A6" s="6" t="inlineStr">
        <is>
          <t>INFY</t>
        </is>
      </c>
      <c r="B6" s="6" t="n">
        <v>2026</v>
      </c>
      <c r="C6" s="6" t="inlineStr">
        <is>
          <t>2026-10-06</t>
        </is>
      </c>
      <c r="D6" s="11" t="n">
        <v>1009</v>
      </c>
      <c r="E6" s="11" t="n">
        <v>178650</v>
      </c>
      <c r="F6" s="11" t="n">
        <v>45313</v>
      </c>
      <c r="G6" s="11" t="n">
        <v>40411</v>
      </c>
      <c r="H6" s="11" t="n">
        <v>29474</v>
      </c>
      <c r="I6" s="11" t="n">
        <v>71.58</v>
      </c>
      <c r="J6" s="11" t="n">
        <v>31259</v>
      </c>
      <c r="K6" s="11" t="n">
        <v>14.1</v>
      </c>
      <c r="L6" s="11" t="n">
        <v>7.09</v>
      </c>
      <c r="M6" s="11" t="n">
        <v>25.36</v>
      </c>
      <c r="N6" s="11" t="n">
        <v>22.62</v>
      </c>
      <c r="O6" s="11" t="n">
        <v>16.5</v>
      </c>
      <c r="P6" s="11" t="n">
        <v>17.5</v>
      </c>
      <c r="Q6" s="11" t="n">
        <v>106.06</v>
      </c>
      <c r="R6" s="11" t="n">
        <v>1</v>
      </c>
      <c r="S6" s="11" t="n">
        <v>2</v>
      </c>
      <c r="T6" s="11" t="n">
        <v>2</v>
      </c>
    </row>
    <row r="7">
      <c r="A7" s="6" t="inlineStr">
        <is>
          <t>TCS</t>
        </is>
      </c>
      <c r="B7" s="6" t="n">
        <v>2026</v>
      </c>
      <c r="C7" s="6" t="inlineStr">
        <is>
          <t>2026-10-06</t>
        </is>
      </c>
      <c r="D7" s="11" t="n">
        <v>2093.4</v>
      </c>
      <c r="E7" s="11" t="n">
        <v>267021</v>
      </c>
      <c r="F7" s="11" t="n">
        <v>76800</v>
      </c>
      <c r="G7" s="11" t="n">
        <v>71240</v>
      </c>
      <c r="H7" s="11" t="n">
        <v>49454</v>
      </c>
      <c r="I7" s="11" t="n">
        <v>136.01</v>
      </c>
      <c r="J7" s="11" t="n">
        <v>48057</v>
      </c>
      <c r="K7" s="11" t="n">
        <v>15.39</v>
      </c>
      <c r="L7" s="11" t="n">
        <v>6.5</v>
      </c>
      <c r="M7" s="11" t="n">
        <v>28.76</v>
      </c>
      <c r="N7" s="11" t="n">
        <v>26.68</v>
      </c>
      <c r="O7" s="11" t="n">
        <v>18.52</v>
      </c>
      <c r="P7" s="11" t="n">
        <v>18</v>
      </c>
      <c r="Q7" s="11" t="n">
        <v>97.18000000000001</v>
      </c>
      <c r="R7" s="11" t="n">
        <v>2</v>
      </c>
      <c r="S7" s="11" t="n">
        <v>1</v>
      </c>
      <c r="T7" s="11" t="n">
        <v>3</v>
      </c>
    </row>
  </sheetData>
  <autoFilter ref="A4:T7"/>
  <mergeCells count="1">
    <mergeCell ref="A1:H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3" customWidth="1" min="1" max="1"/>
    <col width="15" customWidth="1" min="2" max="2"/>
    <col width="20" customWidth="1" min="3" max="3"/>
    <col width="20" customWidth="1" min="4" max="4"/>
    <col width="14" customWidth="1" min="5" max="5"/>
    <col width="12" customWidth="1" min="6" max="6"/>
    <col width="12" customWidth="1" min="7" max="7"/>
    <col width="12" customWidth="1" min="8" max="8"/>
  </cols>
  <sheetData>
    <row r="1" ht="24" customHeight="1">
      <c r="A1" s="1" t="inlineStr">
        <is>
          <t>TCS FP&amp;A Budget Variance</t>
        </is>
      </c>
    </row>
    <row r="2" ht="24" customHeight="1"/>
    <row r="3"/>
    <row r="4">
      <c r="A4" s="5" t="inlineStr">
        <is>
          <t>metric</t>
        </is>
      </c>
      <c r="B4" s="5" t="inlineStr">
        <is>
          <t>fy2026_actual</t>
        </is>
      </c>
      <c r="C4" s="5" t="inlineStr">
        <is>
          <t>fy2027_base_budget</t>
        </is>
      </c>
      <c r="D4" s="5" t="inlineStr">
        <is>
          <t>variance_inr_crore</t>
        </is>
      </c>
      <c r="E4" s="5" t="inlineStr">
        <is>
          <t>variance_pct</t>
        </is>
      </c>
    </row>
    <row r="5">
      <c r="A5" s="6" t="inlineStr">
        <is>
          <t>Revenue</t>
        </is>
      </c>
      <c r="B5" s="11" t="n">
        <v>267021</v>
      </c>
      <c r="C5" s="11" t="n">
        <v>283042.26</v>
      </c>
      <c r="D5" s="11" t="n">
        <v>16021.26</v>
      </c>
      <c r="E5" s="11" t="n">
        <v>6</v>
      </c>
    </row>
    <row r="6">
      <c r="A6" s="6" t="inlineStr">
        <is>
          <t>EBIT</t>
        </is>
      </c>
      <c r="B6" s="11" t="n">
        <v>71240</v>
      </c>
      <c r="C6" s="11" t="n">
        <v>75572.28</v>
      </c>
      <c r="D6" s="11" t="n">
        <v>4332.28</v>
      </c>
      <c r="E6" s="11" t="n">
        <v>6.08</v>
      </c>
    </row>
    <row r="7">
      <c r="A7" s="6" t="inlineStr">
        <is>
          <t>FCF / FCFF</t>
        </is>
      </c>
      <c r="B7" s="11" t="n">
        <v>48057</v>
      </c>
      <c r="C7" s="11" t="n">
        <v>56594.02</v>
      </c>
      <c r="D7" s="11" t="n">
        <v>8537.02</v>
      </c>
      <c r="E7" s="11" t="n">
        <v>17.76</v>
      </c>
    </row>
    <row r="8"/>
    <row r="9"/>
    <row r="10">
      <c r="A10" s="4" t="inlineStr">
        <is>
          <t>FY2027 BASE-CASE BUDGET DRIVERS</t>
        </is>
      </c>
    </row>
    <row r="11">
      <c r="A11" s="5" t="inlineStr">
        <is>
          <t>driver</t>
        </is>
      </c>
      <c r="B11" s="5" t="inlineStr">
        <is>
          <t>value</t>
        </is>
      </c>
      <c r="C11" s="5" t="inlineStr">
        <is>
          <t>unit</t>
        </is>
      </c>
    </row>
    <row r="12">
      <c r="A12" s="6" t="inlineStr">
        <is>
          <t>Revenue Growth</t>
        </is>
      </c>
      <c r="B12" s="11" t="n">
        <v>6</v>
      </c>
      <c r="C12" s="6" t="inlineStr">
        <is>
          <t>%</t>
        </is>
      </c>
    </row>
    <row r="13">
      <c r="A13" s="6" t="inlineStr">
        <is>
          <t>EBIT Margin</t>
        </is>
      </c>
      <c r="B13" s="11" t="n">
        <v>26.7</v>
      </c>
      <c r="C13" s="6" t="inlineStr">
        <is>
          <t>%</t>
        </is>
      </c>
    </row>
    <row r="14">
      <c r="A14" s="6" t="inlineStr">
        <is>
          <t>Tax Rate</t>
        </is>
      </c>
      <c r="B14" s="11" t="n">
        <v>25.3</v>
      </c>
      <c r="C14" s="6" t="inlineStr">
        <is>
          <t>%</t>
        </is>
      </c>
    </row>
    <row r="15">
      <c r="A15" s="6" t="inlineStr">
        <is>
          <t>D&amp;A / Revenue</t>
        </is>
      </c>
      <c r="B15" s="11" t="n">
        <v>2.15</v>
      </c>
      <c r="C15" s="6" t="inlineStr">
        <is>
          <t>%</t>
        </is>
      </c>
    </row>
    <row r="16">
      <c r="A16" s="6" t="inlineStr">
        <is>
          <t>CapEx / Revenue</t>
        </is>
      </c>
      <c r="B16" s="11" t="n">
        <v>1.4</v>
      </c>
      <c r="C16" s="6" t="inlineStr">
        <is>
          <t>%</t>
        </is>
      </c>
    </row>
    <row r="17">
      <c r="A17" s="6" t="inlineStr">
        <is>
          <t>Delta NWC / Revenue</t>
        </is>
      </c>
      <c r="B17" s="11" t="n">
        <v>0.7</v>
      </c>
      <c r="C17" s="6" t="inlineStr">
        <is>
          <t>%</t>
        </is>
      </c>
    </row>
  </sheetData>
  <autoFilter ref="A11:C17"/>
  <mergeCells count="2">
    <mergeCell ref="A1:H2"/>
    <mergeCell ref="A10:H1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1" customWidth="1" min="1" max="1"/>
    <col width="24" customWidth="1" min="2" max="2"/>
    <col width="21" customWidth="1" min="3" max="3"/>
    <col width="17" customWidth="1" min="4" max="4"/>
    <col width="30" customWidth="1" min="5" max="5"/>
    <col width="34" customWidth="1" min="6" max="6"/>
    <col width="25" customWidth="1" min="7" max="7"/>
    <col width="24" customWidth="1" min="8" max="8"/>
    <col width="25" customWidth="1" min="9" max="9"/>
  </cols>
  <sheetData>
    <row r="1" ht="24" customHeight="1">
      <c r="A1" s="1" t="inlineStr">
        <is>
          <t>TCS Treasury &amp; Liquidity KPIs</t>
        </is>
      </c>
    </row>
    <row r="2" ht="24" customHeight="1"/>
    <row r="3"/>
    <row r="4">
      <c r="A4" s="5" t="inlineStr">
        <is>
          <t>metric</t>
        </is>
      </c>
      <c r="B4" s="5" t="inlineStr">
        <is>
          <t>value</t>
        </is>
      </c>
      <c r="C4" s="5" t="inlineStr">
        <is>
          <t>unit</t>
        </is>
      </c>
    </row>
    <row r="5">
      <c r="A5" s="6" t="inlineStr">
        <is>
          <t>Cash &amp; Equivalents</t>
        </is>
      </c>
      <c r="B5" s="11" t="n">
        <v>6417</v>
      </c>
      <c r="C5" s="6" t="inlineStr">
        <is>
          <t>INR Crore</t>
        </is>
      </c>
    </row>
    <row r="6">
      <c r="A6" s="6" t="inlineStr">
        <is>
          <t>Unrestricted Bank Deposits</t>
        </is>
      </c>
      <c r="B6" s="11" t="n">
        <v>4197</v>
      </c>
      <c r="C6" s="6" t="inlineStr">
        <is>
          <t>INR Crore</t>
        </is>
      </c>
    </row>
    <row r="7">
      <c r="A7" s="6" t="inlineStr">
        <is>
          <t>Unrestricted Investments</t>
        </is>
      </c>
      <c r="B7" s="11" t="n">
        <v>33273</v>
      </c>
      <c r="C7" s="6" t="inlineStr">
        <is>
          <t>INR Crore</t>
        </is>
      </c>
    </row>
    <row r="8">
      <c r="A8" s="6" t="inlineStr">
        <is>
          <t>Core Liquidity Pool</t>
        </is>
      </c>
      <c r="B8" s="11" t="n">
        <v>43887</v>
      </c>
      <c r="C8" s="6" t="inlineStr">
        <is>
          <t>INR Crore</t>
        </is>
      </c>
    </row>
    <row r="9">
      <c r="A9" s="6" t="inlineStr">
        <is>
          <t>Debt-like Obligations</t>
        </is>
      </c>
      <c r="B9" s="11" t="n">
        <v>11409</v>
      </c>
      <c r="C9" s="6" t="inlineStr">
        <is>
          <t>INR Crore</t>
        </is>
      </c>
    </row>
    <row r="10">
      <c r="A10" s="6" t="inlineStr">
        <is>
          <t>Net Liquidity</t>
        </is>
      </c>
      <c r="B10" s="11" t="n">
        <v>32478</v>
      </c>
      <c r="C10" s="6" t="inlineStr">
        <is>
          <t>INR Crore</t>
        </is>
      </c>
    </row>
    <row r="11">
      <c r="A11" s="6" t="inlineStr">
        <is>
          <t>Current Ratio</t>
        </is>
      </c>
      <c r="B11" s="11" t="n">
        <v>2.2278</v>
      </c>
      <c r="C11" s="6" t="inlineStr">
        <is>
          <t>x</t>
        </is>
      </c>
    </row>
    <row r="12">
      <c r="A12" s="6" t="inlineStr">
        <is>
          <t>Cash Ratio</t>
        </is>
      </c>
      <c r="B12" s="11" t="n">
        <v>0.1053</v>
      </c>
      <c r="C12" s="6" t="inlineStr">
        <is>
          <t>x</t>
        </is>
      </c>
    </row>
    <row r="13">
      <c r="A13" s="6" t="inlineStr">
        <is>
          <t>Liquid Asset Coverage</t>
        </is>
      </c>
      <c r="B13" s="11" t="n">
        <v>0.7205</v>
      </c>
      <c r="C13" s="6" t="inlineStr">
        <is>
          <t>x</t>
        </is>
      </c>
    </row>
    <row r="14">
      <c r="A14" s="6" t="inlineStr">
        <is>
          <t>CFO / Current Liabilities</t>
        </is>
      </c>
      <c r="B14" s="11" t="n">
        <v>0.8552</v>
      </c>
      <c r="C14" s="6" t="inlineStr">
        <is>
          <t>x</t>
        </is>
      </c>
    </row>
    <row r="15">
      <c r="A15" s="6" t="inlineStr">
        <is>
          <t>CFO Dividend Coverage</t>
        </is>
      </c>
      <c r="B15" s="11" t="n">
        <v>1.3209</v>
      </c>
      <c r="C15" s="6" t="inlineStr">
        <is>
          <t>x</t>
        </is>
      </c>
    </row>
    <row r="16">
      <c r="A16" s="6" t="inlineStr">
        <is>
          <t>FCF Dividend Coverage</t>
        </is>
      </c>
      <c r="B16" s="11" t="n">
        <v>1.2186</v>
      </c>
      <c r="C16" s="6" t="inlineStr">
        <is>
          <t>x</t>
        </is>
      </c>
    </row>
    <row r="17">
      <c r="A17" s="6" t="inlineStr">
        <is>
          <t>Dividend / FCF</t>
        </is>
      </c>
      <c r="B17" s="11" t="n">
        <v>82.063</v>
      </c>
      <c r="C17" s="6" t="inlineStr">
        <is>
          <t>%</t>
        </is>
      </c>
    </row>
    <row r="18"/>
    <row r="19"/>
    <row r="20">
      <c r="A20" s="4" t="inlineStr">
        <is>
          <t>LIQUIDITY STRESS TESTS</t>
        </is>
      </c>
    </row>
    <row r="21">
      <c r="A21" s="5" t="inlineStr">
        <is>
          <t>scenario</t>
        </is>
      </c>
      <c r="B21" s="5" t="inlineStr">
        <is>
          <t>investment_haircut_pct</t>
        </is>
      </c>
      <c r="C21" s="5" t="inlineStr">
        <is>
          <t>deposit_haircut_pct</t>
        </is>
      </c>
      <c r="D21" s="5" t="inlineStr">
        <is>
          <t>cfo_decline_pct</t>
        </is>
      </c>
      <c r="E21" s="5" t="inlineStr">
        <is>
          <t>stressed_liquidity_inr_crore</t>
        </is>
      </c>
      <c r="F21" s="5" t="inlineStr">
        <is>
          <t>stressed_net_liquidity_inr_crore</t>
        </is>
      </c>
      <c r="G21" s="5" t="inlineStr">
        <is>
          <t>liquid_asset_coverage_x</t>
        </is>
      </c>
      <c r="H21" s="5" t="inlineStr">
        <is>
          <t>stressed_cfo_inr_crore</t>
        </is>
      </c>
      <c r="I21" s="5" t="inlineStr">
        <is>
          <t>cfo_dividend_coverage_x</t>
        </is>
      </c>
    </row>
    <row r="22">
      <c r="A22" s="6" t="inlineStr">
        <is>
          <t>Mild Liquidity Stress</t>
        </is>
      </c>
      <c r="B22" s="11" t="n">
        <v>5</v>
      </c>
      <c r="C22" s="11" t="n">
        <v>0</v>
      </c>
      <c r="D22" s="11" t="n">
        <v>10</v>
      </c>
      <c r="E22" s="11" t="n">
        <v>42223.35</v>
      </c>
      <c r="F22" s="11" t="n">
        <v>30814.35</v>
      </c>
      <c r="G22" s="11" t="n">
        <v>0.6932</v>
      </c>
      <c r="H22" s="11" t="n">
        <v>46884.6</v>
      </c>
      <c r="I22" s="11" t="n">
        <v>1.1888</v>
      </c>
    </row>
    <row r="23">
      <c r="A23" s="6" t="inlineStr">
        <is>
          <t>Moderate Liquidity Stress</t>
        </is>
      </c>
      <c r="B23" s="11" t="n">
        <v>10</v>
      </c>
      <c r="C23" s="11" t="n">
        <v>2</v>
      </c>
      <c r="D23" s="11" t="n">
        <v>20</v>
      </c>
      <c r="E23" s="11" t="n">
        <v>40475.76</v>
      </c>
      <c r="F23" s="11" t="n">
        <v>29066.76</v>
      </c>
      <c r="G23" s="11" t="n">
        <v>0.6645</v>
      </c>
      <c r="H23" s="11" t="n">
        <v>41675.2</v>
      </c>
      <c r="I23" s="11" t="n">
        <v>1.0568</v>
      </c>
    </row>
    <row r="24">
      <c r="A24" s="6" t="inlineStr">
        <is>
          <t>Severe Liquidity Stress</t>
        </is>
      </c>
      <c r="B24" s="11" t="n">
        <v>20</v>
      </c>
      <c r="C24" s="11" t="n">
        <v>5</v>
      </c>
      <c r="D24" s="11" t="n">
        <v>30</v>
      </c>
      <c r="E24" s="11" t="n">
        <v>37022.55</v>
      </c>
      <c r="F24" s="11" t="n">
        <v>25613.55</v>
      </c>
      <c r="G24" s="11" t="n">
        <v>0.6078</v>
      </c>
      <c r="H24" s="11" t="n">
        <v>36465.8</v>
      </c>
      <c r="I24" s="11" t="n">
        <v>0.9247</v>
      </c>
    </row>
  </sheetData>
  <autoFilter ref="A21:I24"/>
  <mergeCells count="2">
    <mergeCell ref="A1:H2"/>
    <mergeCell ref="A20:H2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  <col width="25" customWidth="1" min="3" max="3"/>
    <col width="12" customWidth="1" min="4" max="4"/>
    <col width="20" customWidth="1" min="5" max="5"/>
    <col width="16" customWidth="1" min="6" max="6"/>
    <col width="21" customWidth="1" min="7" max="7"/>
    <col width="24" customWidth="1" min="8" max="8"/>
    <col width="26" customWidth="1" min="9" max="9"/>
    <col width="26" customWidth="1" min="10" max="10"/>
    <col width="25" customWidth="1" min="11" max="11"/>
    <col width="19" customWidth="1" min="12" max="12"/>
    <col width="16" customWidth="1" min="13" max="13"/>
  </cols>
  <sheetData>
    <row r="1" ht="24" customHeight="1">
      <c r="A1" s="1" t="inlineStr">
        <is>
          <t>TCS Internal Credit Scorecard</t>
        </is>
      </c>
    </row>
    <row r="2" ht="24" customHeight="1"/>
    <row r="3"/>
    <row r="4">
      <c r="A4" s="5" t="inlineStr">
        <is>
          <t>metric</t>
        </is>
      </c>
      <c r="B4" s="5" t="inlineStr">
        <is>
          <t>value</t>
        </is>
      </c>
      <c r="C4" s="5" t="inlineStr">
        <is>
          <t>unit</t>
        </is>
      </c>
      <c r="D4" s="5" t="inlineStr">
        <is>
          <t>score</t>
        </is>
      </c>
      <c r="E4" s="5" t="inlineStr">
        <is>
          <t>weight_pct</t>
        </is>
      </c>
      <c r="F4" s="5" t="inlineStr">
        <is>
          <t>weighted_score</t>
        </is>
      </c>
    </row>
    <row r="5">
      <c r="A5" s="6" t="inlineStr">
        <is>
          <t>Current Ratio</t>
        </is>
      </c>
      <c r="B5" s="11" t="n">
        <v>2.2278</v>
      </c>
      <c r="C5" s="6" t="inlineStr">
        <is>
          <t>x</t>
        </is>
      </c>
      <c r="D5" s="6" t="n">
        <v>5</v>
      </c>
      <c r="E5" s="6" t="n">
        <v>15</v>
      </c>
      <c r="F5" s="11" t="n">
        <v>0.75</v>
      </c>
    </row>
    <row r="6">
      <c r="A6" s="6" t="inlineStr">
        <is>
          <t>Liabilities / Equity</t>
        </is>
      </c>
      <c r="B6" s="11" t="n">
        <v>0.6891</v>
      </c>
      <c r="C6" s="6" t="inlineStr">
        <is>
          <t>x</t>
        </is>
      </c>
      <c r="D6" s="6" t="n">
        <v>5</v>
      </c>
      <c r="E6" s="6" t="n">
        <v>10</v>
      </c>
      <c r="F6" s="11" t="n">
        <v>0.5</v>
      </c>
    </row>
    <row r="7">
      <c r="A7" s="6" t="inlineStr">
        <is>
          <t>Debt-like Obligations / EBITDA</t>
        </is>
      </c>
      <c r="B7" s="11" t="n">
        <v>0.1486</v>
      </c>
      <c r="C7" s="6" t="inlineStr">
        <is>
          <t>x</t>
        </is>
      </c>
      <c r="D7" s="6" t="n">
        <v>5</v>
      </c>
      <c r="E7" s="6" t="n">
        <v>20</v>
      </c>
      <c r="F7" s="11" t="n">
        <v>1</v>
      </c>
    </row>
    <row r="8">
      <c r="A8" s="6" t="inlineStr">
        <is>
          <t>EBIT / Finance Cost</t>
        </is>
      </c>
      <c r="B8" s="11" t="n">
        <v>58.0603</v>
      </c>
      <c r="C8" s="6" t="inlineStr">
        <is>
          <t>x</t>
        </is>
      </c>
      <c r="D8" s="6" t="n">
        <v>5</v>
      </c>
      <c r="E8" s="6" t="n">
        <v>20</v>
      </c>
      <c r="F8" s="11" t="n">
        <v>1</v>
      </c>
    </row>
    <row r="9">
      <c r="A9" s="6" t="inlineStr">
        <is>
          <t>CFO / Total Liabilities</t>
        </is>
      </c>
      <c r="B9" s="11" t="n">
        <v>0.705</v>
      </c>
      <c r="C9" s="6" t="inlineStr">
        <is>
          <t>x</t>
        </is>
      </c>
      <c r="D9" s="6" t="n">
        <v>5</v>
      </c>
      <c r="E9" s="6" t="n">
        <v>15</v>
      </c>
      <c r="F9" s="11" t="n">
        <v>0.75</v>
      </c>
    </row>
    <row r="10">
      <c r="A10" s="6" t="inlineStr">
        <is>
          <t>EBITDA Margin</t>
        </is>
      </c>
      <c r="B10" s="11" t="n">
        <v>28.7618</v>
      </c>
      <c r="C10" s="6" t="inlineStr">
        <is>
          <t>%</t>
        </is>
      </c>
      <c r="D10" s="6" t="n">
        <v>5</v>
      </c>
      <c r="E10" s="6" t="n">
        <v>10</v>
      </c>
      <c r="F10" s="11" t="n">
        <v>0.5</v>
      </c>
    </row>
    <row r="11">
      <c r="A11" s="6" t="inlineStr">
        <is>
          <t>Liquid Assets / Current Liabilities</t>
        </is>
      </c>
      <c r="B11" s="11" t="n">
        <v>0.7205</v>
      </c>
      <c r="C11" s="6" t="inlineStr">
        <is>
          <t>x</t>
        </is>
      </c>
      <c r="D11" s="6" t="n">
        <v>4</v>
      </c>
      <c r="E11" s="6" t="n">
        <v>10</v>
      </c>
      <c r="F11" s="11" t="n">
        <v>0.4</v>
      </c>
    </row>
    <row r="12"/>
    <row r="13"/>
    <row r="14">
      <c r="A14" s="4" t="inlineStr">
        <is>
          <t>CREDIT RISK SUMMARY</t>
        </is>
      </c>
    </row>
    <row r="15">
      <c r="A15" s="5" t="inlineStr">
        <is>
          <t>company</t>
        </is>
      </c>
      <c r="B15" s="5" t="inlineStr">
        <is>
          <t>fiscal_year</t>
        </is>
      </c>
      <c r="C15" s="5" t="inlineStr">
        <is>
          <t>weighted_score_out_of_5</t>
        </is>
      </c>
      <c r="D15" s="5" t="inlineStr">
        <is>
          <t>score_pct</t>
        </is>
      </c>
      <c r="E15" s="5" t="inlineStr">
        <is>
          <t>internal_risk_band</t>
        </is>
      </c>
      <c r="F15" s="5" t="inlineStr">
        <is>
          <t>current_ratio</t>
        </is>
      </c>
      <c r="G15" s="5" t="inlineStr">
        <is>
          <t>debt_like_to_ebitda</t>
        </is>
      </c>
      <c r="H15" s="5" t="inlineStr">
        <is>
          <t>ebit_interest_coverage</t>
        </is>
      </c>
      <c r="I15" s="5" t="inlineStr">
        <is>
          <t>cfo_to_total_liabilities</t>
        </is>
      </c>
      <c r="J15" s="5" t="inlineStr">
        <is>
          <t>fcf_to_total_liabilities</t>
        </is>
      </c>
      <c r="K15" s="5" t="inlineStr">
        <is>
          <t>net_liquidity_to_ebitda</t>
        </is>
      </c>
      <c r="L15" s="5" t="inlineStr">
        <is>
          <t>ebitda_margin_pct</t>
        </is>
      </c>
      <c r="M15" s="5" t="inlineStr">
        <is>
          <t>net_margin_pct</t>
        </is>
      </c>
    </row>
    <row r="16">
      <c r="A16" s="6" t="inlineStr">
        <is>
          <t>TCS</t>
        </is>
      </c>
      <c r="B16" s="6" t="n">
        <v>2026</v>
      </c>
      <c r="C16" s="11" t="n">
        <v>4.9</v>
      </c>
      <c r="D16" s="11" t="n">
        <v>98</v>
      </c>
      <c r="E16" s="6" t="inlineStr">
        <is>
          <t>Low Credit Risk</t>
        </is>
      </c>
      <c r="F16" s="11" t="n">
        <v>2.2278</v>
      </c>
      <c r="G16" s="11" t="n">
        <v>0.1486</v>
      </c>
      <c r="H16" s="11" t="n">
        <v>58.0603</v>
      </c>
      <c r="I16" s="11" t="n">
        <v>0.705</v>
      </c>
      <c r="J16" s="11" t="n">
        <v>0.6504</v>
      </c>
      <c r="K16" s="11" t="n">
        <v>0.4229</v>
      </c>
      <c r="L16" s="11" t="n">
        <v>28.7618</v>
      </c>
      <c r="M16" s="11" t="n">
        <v>18.5206</v>
      </c>
    </row>
  </sheetData>
  <autoFilter ref="A15:M16"/>
  <mergeCells count="2">
    <mergeCell ref="A1:H2"/>
    <mergeCell ref="A14:H1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1" customWidth="1" min="1" max="1"/>
    <col width="24" customWidth="1" min="2" max="2"/>
    <col width="25" customWidth="1" min="3" max="3"/>
    <col width="29" customWidth="1" min="4" max="4"/>
    <col width="30" customWidth="1" min="5" max="5"/>
    <col width="15" customWidth="1" min="6" max="6"/>
    <col width="16" customWidth="1" min="7" max="7"/>
    <col width="18" customWidth="1" min="8" max="8"/>
    <col width="27" customWidth="1" min="9" max="9"/>
    <col width="28" customWidth="1" min="10" max="10"/>
    <col width="33" customWidth="1" min="11" max="11"/>
  </cols>
  <sheetData>
    <row r="1" ht="24" customHeight="1">
      <c r="A1" s="1" t="inlineStr">
        <is>
          <t>₹10 Lakh Portfolio Strategies</t>
        </is>
      </c>
    </row>
    <row r="2" ht="24" customHeight="1"/>
    <row r="3"/>
    <row r="4">
      <c r="A4" s="5" t="inlineStr">
        <is>
          <t>portfolio</t>
        </is>
      </c>
      <c r="B4" s="5" t="inlineStr">
        <is>
          <t>TCS</t>
        </is>
      </c>
      <c r="C4" s="5" t="inlineStr">
        <is>
          <t>INFY</t>
        </is>
      </c>
      <c r="D4" s="5" t="inlineStr">
        <is>
          <t>HCLTECH</t>
        </is>
      </c>
      <c r="E4" s="5" t="inlineStr">
        <is>
          <t>expected_return</t>
        </is>
      </c>
      <c r="F4" s="5" t="inlineStr">
        <is>
          <t>volatility</t>
        </is>
      </c>
      <c r="G4" s="5" t="inlineStr">
        <is>
          <t>sharpe_ratio</t>
        </is>
      </c>
    </row>
    <row r="5">
      <c r="A5" s="6" t="inlineStr">
        <is>
          <t>Equal Weight</t>
        </is>
      </c>
      <c r="B5" s="11" t="n">
        <v>0.333333</v>
      </c>
      <c r="C5" s="11" t="n">
        <v>0.333333</v>
      </c>
      <c r="D5" s="11" t="n">
        <v>0.333333</v>
      </c>
      <c r="E5" s="11" t="n">
        <v>0.138589</v>
      </c>
      <c r="F5" s="11" t="n">
        <v>0.221886</v>
      </c>
      <c r="G5" s="11" t="n">
        <v>0.624593</v>
      </c>
    </row>
    <row r="6">
      <c r="A6" s="6" t="inlineStr">
        <is>
          <t>Minimum Volatility</t>
        </is>
      </c>
      <c r="B6" s="11" t="n">
        <v>0.486658</v>
      </c>
      <c r="C6" s="11" t="n">
        <v>0.225023</v>
      </c>
      <c r="D6" s="11" t="n">
        <v>0.288319</v>
      </c>
      <c r="E6" s="11" t="n">
        <v>0.13378</v>
      </c>
      <c r="F6" s="11" t="n">
        <v>0.219794</v>
      </c>
      <c r="G6" s="11" t="n">
        <v>0.608662</v>
      </c>
    </row>
    <row r="7">
      <c r="A7" s="6" t="inlineStr">
        <is>
          <t>Maximum Sharpe</t>
        </is>
      </c>
      <c r="B7" s="11" t="n">
        <v>0.09847</v>
      </c>
      <c r="C7" s="11" t="n">
        <v>0.104806</v>
      </c>
      <c r="D7" s="11" t="n">
        <v>0.796724</v>
      </c>
      <c r="E7" s="11" t="n">
        <v>0.16496</v>
      </c>
      <c r="F7" s="11" t="n">
        <v>0.244026</v>
      </c>
      <c r="G7" s="11" t="n">
        <v>0.675995</v>
      </c>
    </row>
    <row r="8"/>
    <row r="9"/>
    <row r="10">
      <c r="A10" s="4" t="inlineStr">
        <is>
          <t>PORTFOLIO RISK</t>
        </is>
      </c>
    </row>
    <row r="11">
      <c r="A11" s="5" t="inlineStr">
        <is>
          <t>portfolio</t>
        </is>
      </c>
      <c r="B11" s="5" t="inlineStr">
        <is>
          <t>annual_volatility_pct</t>
        </is>
      </c>
      <c r="C11" s="5" t="inlineStr">
        <is>
          <t>downside_volatility_pct</t>
        </is>
      </c>
      <c r="D11" s="5" t="inlineStr">
        <is>
          <t>historical_var_95_daily_pct</t>
        </is>
      </c>
      <c r="E11" s="5" t="inlineStr">
        <is>
          <t>historical_cvar_95_daily_pct</t>
        </is>
      </c>
      <c r="F11" s="5" t="inlineStr">
        <is>
          <t>worst_day_pct</t>
        </is>
      </c>
      <c r="G11" s="5" t="inlineStr">
        <is>
          <t>worst_day_date</t>
        </is>
      </c>
      <c r="H11" s="5" t="inlineStr">
        <is>
          <t>max_drawdown_pct</t>
        </is>
      </c>
      <c r="I11" s="5" t="inlineStr">
        <is>
          <t>var_95_loss_on_10lakh_inr</t>
        </is>
      </c>
      <c r="J11" s="5" t="inlineStr">
        <is>
          <t>cvar_95_loss_on_10lakh_inr</t>
        </is>
      </c>
      <c r="K11" s="5" t="inlineStr">
        <is>
          <t>max_drawdown_loss_on_10lakh_inr</t>
        </is>
      </c>
    </row>
    <row r="12">
      <c r="A12" s="6" t="inlineStr">
        <is>
          <t>Equal Weight</t>
        </is>
      </c>
      <c r="B12" s="11" t="n">
        <v>22.1886</v>
      </c>
      <c r="C12" s="11" t="n">
        <v>15.765</v>
      </c>
      <c r="D12" s="11" t="n">
        <v>-2.0591</v>
      </c>
      <c r="E12" s="11" t="n">
        <v>-3.2113</v>
      </c>
      <c r="F12" s="11" t="n">
        <v>-8.4977</v>
      </c>
      <c r="G12" s="6" t="inlineStr">
        <is>
          <t>2020-03-12</t>
        </is>
      </c>
      <c r="H12" s="11" t="n">
        <v>-47.9157</v>
      </c>
      <c r="I12" s="11" t="n">
        <v>20591.3794</v>
      </c>
      <c r="J12" s="11" t="n">
        <v>32112.9654</v>
      </c>
      <c r="K12" s="11" t="n">
        <v>479157.3347</v>
      </c>
    </row>
    <row r="13">
      <c r="A13" s="6" t="inlineStr">
        <is>
          <t>Minimum Volatility</t>
        </is>
      </c>
      <c r="B13" s="11" t="n">
        <v>21.9794</v>
      </c>
      <c r="C13" s="11" t="n">
        <v>15.54</v>
      </c>
      <c r="D13" s="11" t="n">
        <v>-2.069</v>
      </c>
      <c r="E13" s="11" t="n">
        <v>-3.1778</v>
      </c>
      <c r="F13" s="11" t="n">
        <v>-8.711</v>
      </c>
      <c r="G13" s="6" t="inlineStr">
        <is>
          <t>2020-03-12</t>
        </is>
      </c>
      <c r="H13" s="11" t="n">
        <v>-48.848</v>
      </c>
      <c r="I13" s="11" t="n">
        <v>20689.8816</v>
      </c>
      <c r="J13" s="11" t="n">
        <v>31778.3622</v>
      </c>
      <c r="K13" s="11" t="n">
        <v>488479.9318</v>
      </c>
    </row>
    <row r="14">
      <c r="A14" s="6" t="inlineStr">
        <is>
          <t>Maximum Sharpe</t>
        </is>
      </c>
      <c r="B14" s="11" t="n">
        <v>24.4026</v>
      </c>
      <c r="C14" s="11" t="n">
        <v>17.1998</v>
      </c>
      <c r="D14" s="11" t="n">
        <v>-2.2631</v>
      </c>
      <c r="E14" s="11" t="n">
        <v>-3.5135</v>
      </c>
      <c r="F14" s="11" t="n">
        <v>-9.246</v>
      </c>
      <c r="G14" s="6" t="inlineStr">
        <is>
          <t>2026-04-22</t>
        </is>
      </c>
      <c r="H14" s="11" t="n">
        <v>-45.3319</v>
      </c>
      <c r="I14" s="11" t="n">
        <v>22631.0612</v>
      </c>
      <c r="J14" s="11" t="n">
        <v>35134.6788</v>
      </c>
      <c r="K14" s="11" t="n">
        <v>453319.0637</v>
      </c>
    </row>
    <row r="15"/>
    <row r="16"/>
    <row r="17">
      <c r="A17" s="4" t="inlineStr">
        <is>
          <t>PORTFOLIO STRESS TESTS</t>
        </is>
      </c>
    </row>
    <row r="18">
      <c r="A18" s="5" t="inlineStr">
        <is>
          <t>portfolio</t>
        </is>
      </c>
      <c r="B18" s="5" t="inlineStr">
        <is>
          <t>scenario</t>
        </is>
      </c>
      <c r="C18" s="5" t="inlineStr">
        <is>
          <t>portfolio_loss_pct</t>
        </is>
      </c>
      <c r="D18" s="5" t="inlineStr">
        <is>
          <t>loss_on_10lakh_inr</t>
        </is>
      </c>
      <c r="E18" s="5" t="inlineStr">
        <is>
          <t>post_stress_value_inr</t>
        </is>
      </c>
    </row>
    <row r="19">
      <c r="A19" s="6" t="inlineStr">
        <is>
          <t>Equal Weight</t>
        </is>
      </c>
      <c r="B19" s="6" t="inlineStr">
        <is>
          <t>Broad IT Selloff</t>
        </is>
      </c>
      <c r="C19" s="11" t="n">
        <v>-13.67</v>
      </c>
      <c r="D19" s="11" t="n">
        <v>136666.53</v>
      </c>
      <c r="E19" s="11" t="n">
        <v>863333.47</v>
      </c>
    </row>
    <row r="20">
      <c r="A20" s="6" t="inlineStr">
        <is>
          <t>Equal Weight</t>
        </is>
      </c>
      <c r="B20" s="6" t="inlineStr">
        <is>
          <t>Severe Tech Shock</t>
        </is>
      </c>
      <c r="C20" s="11" t="n">
        <v>-22.33</v>
      </c>
      <c r="D20" s="11" t="n">
        <v>223333.11</v>
      </c>
      <c r="E20" s="11" t="n">
        <v>776666.89</v>
      </c>
    </row>
    <row r="21">
      <c r="A21" s="6" t="inlineStr">
        <is>
          <t>Equal Weight</t>
        </is>
      </c>
      <c r="B21" s="6" t="inlineStr">
        <is>
          <t>TCS Specific Shock</t>
        </is>
      </c>
      <c r="C21" s="11" t="n">
        <v>-9.33</v>
      </c>
      <c r="D21" s="11" t="n">
        <v>93333.24000000001</v>
      </c>
      <c r="E21" s="11" t="n">
        <v>906666.76</v>
      </c>
    </row>
    <row r="22">
      <c r="A22" s="6" t="inlineStr">
        <is>
          <t>Equal Weight</t>
        </is>
      </c>
      <c r="B22" s="6" t="inlineStr">
        <is>
          <t>HCLTECH Specific Shock</t>
        </is>
      </c>
      <c r="C22" s="11" t="n">
        <v>-10</v>
      </c>
      <c r="D22" s="11" t="n">
        <v>99999.89999999999</v>
      </c>
      <c r="E22" s="11" t="n">
        <v>900000.1</v>
      </c>
    </row>
    <row r="23">
      <c r="A23" s="6" t="inlineStr">
        <is>
          <t>Minimum Volatility</t>
        </is>
      </c>
      <c r="B23" s="6" t="inlineStr">
        <is>
          <t>Broad IT Selloff</t>
        </is>
      </c>
      <c r="C23" s="11" t="n">
        <v>-13.32</v>
      </c>
      <c r="D23" s="11" t="n">
        <v>133150.03</v>
      </c>
      <c r="E23" s="11" t="n">
        <v>866849.97</v>
      </c>
    </row>
    <row r="24">
      <c r="A24" s="6" t="inlineStr">
        <is>
          <t>Minimum Volatility</t>
        </is>
      </c>
      <c r="B24" s="6" t="inlineStr">
        <is>
          <t>Severe Tech Shock</t>
        </is>
      </c>
      <c r="C24" s="11" t="n">
        <v>-21.89</v>
      </c>
      <c r="D24" s="11" t="n">
        <v>218916.41</v>
      </c>
      <c r="E24" s="11" t="n">
        <v>781083.59</v>
      </c>
    </row>
    <row r="25">
      <c r="A25" s="6" t="inlineStr">
        <is>
          <t>Minimum Volatility</t>
        </is>
      </c>
      <c r="B25" s="6" t="inlineStr">
        <is>
          <t>TCS Specific Shock</t>
        </is>
      </c>
      <c r="C25" s="11" t="n">
        <v>-11.33</v>
      </c>
      <c r="D25" s="11" t="n">
        <v>113265.54</v>
      </c>
      <c r="E25" s="11" t="n">
        <v>886734.46</v>
      </c>
    </row>
    <row r="26">
      <c r="A26" s="6" t="inlineStr">
        <is>
          <t>Minimum Volatility</t>
        </is>
      </c>
      <c r="B26" s="6" t="inlineStr">
        <is>
          <t>HCLTECH Specific Shock</t>
        </is>
      </c>
      <c r="C26" s="11" t="n">
        <v>-9.32</v>
      </c>
      <c r="D26" s="11" t="n">
        <v>93247.85000000001</v>
      </c>
      <c r="E26" s="11" t="n">
        <v>906752.15</v>
      </c>
    </row>
    <row r="27">
      <c r="A27" s="6" t="inlineStr">
        <is>
          <t>Maximum Sharpe</t>
        </is>
      </c>
      <c r="B27" s="6" t="inlineStr">
        <is>
          <t>Broad IT Selloff</t>
        </is>
      </c>
      <c r="C27" s="11" t="n">
        <v>-14.6</v>
      </c>
      <c r="D27" s="11" t="n">
        <v>145997.84</v>
      </c>
      <c r="E27" s="11" t="n">
        <v>854002.16</v>
      </c>
    </row>
    <row r="28">
      <c r="A28" s="6" t="inlineStr">
        <is>
          <t>Maximum Sharpe</t>
        </is>
      </c>
      <c r="B28" s="6" t="inlineStr">
        <is>
          <t>Severe Tech Shock</t>
        </is>
      </c>
      <c r="C28" s="11" t="n">
        <v>-24.19</v>
      </c>
      <c r="D28" s="11" t="n">
        <v>241932.32</v>
      </c>
      <c r="E28" s="11" t="n">
        <v>758067.6800000001</v>
      </c>
    </row>
    <row r="29">
      <c r="A29" s="6" t="inlineStr">
        <is>
          <t>Maximum Sharpe</t>
        </is>
      </c>
      <c r="B29" s="6" t="inlineStr">
        <is>
          <t>TCS Specific Shock</t>
        </is>
      </c>
      <c r="C29" s="11" t="n">
        <v>-6.28</v>
      </c>
      <c r="D29" s="11" t="n">
        <v>62801.1</v>
      </c>
      <c r="E29" s="11" t="n">
        <v>937198.9</v>
      </c>
    </row>
    <row r="30">
      <c r="A30" s="6" t="inlineStr">
        <is>
          <t>Maximum Sharpe</t>
        </is>
      </c>
      <c r="B30" s="6" t="inlineStr">
        <is>
          <t>HCLTECH Specific Shock</t>
        </is>
      </c>
      <c r="C30" s="11" t="n">
        <v>-16.95</v>
      </c>
      <c r="D30" s="11" t="n">
        <v>169508.6</v>
      </c>
      <c r="E30" s="11" t="n">
        <v>830491.4</v>
      </c>
    </row>
  </sheetData>
  <autoFilter ref="A18:E30"/>
  <mergeCells count="3">
    <mergeCell ref="A1:H2"/>
    <mergeCell ref="A17:H17"/>
    <mergeCell ref="A10:H10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5" customWidth="1" min="3" max="3"/>
    <col width="29" customWidth="1" min="4" max="4"/>
    <col width="30" customWidth="1" min="5" max="5"/>
    <col width="15" customWidth="1" min="6" max="6"/>
    <col width="16" customWidth="1" min="7" max="7"/>
    <col width="18" customWidth="1" min="8" max="8"/>
    <col width="27" customWidth="1" min="9" max="9"/>
    <col width="28" customWidth="1" min="10" max="10"/>
    <col width="33" customWidth="1" min="11" max="11"/>
  </cols>
  <sheetData>
    <row r="1" ht="24" customHeight="1">
      <c r="A1" s="1" t="inlineStr">
        <is>
          <t>Portfolio Risk Metrics</t>
        </is>
      </c>
    </row>
    <row r="2" ht="24" customHeight="1"/>
    <row r="3"/>
    <row r="4">
      <c r="A4" s="5" t="inlineStr">
        <is>
          <t>portfolio</t>
        </is>
      </c>
      <c r="B4" s="5" t="inlineStr">
        <is>
          <t>annual_volatility_pct</t>
        </is>
      </c>
      <c r="C4" s="5" t="inlineStr">
        <is>
          <t>downside_volatility_pct</t>
        </is>
      </c>
      <c r="D4" s="5" t="inlineStr">
        <is>
          <t>historical_var_95_daily_pct</t>
        </is>
      </c>
      <c r="E4" s="5" t="inlineStr">
        <is>
          <t>historical_cvar_95_daily_pct</t>
        </is>
      </c>
      <c r="F4" s="5" t="inlineStr">
        <is>
          <t>worst_day_pct</t>
        </is>
      </c>
      <c r="G4" s="5" t="inlineStr">
        <is>
          <t>worst_day_date</t>
        </is>
      </c>
      <c r="H4" s="5" t="inlineStr">
        <is>
          <t>max_drawdown_pct</t>
        </is>
      </c>
      <c r="I4" s="5" t="inlineStr">
        <is>
          <t>var_95_loss_on_10lakh_inr</t>
        </is>
      </c>
      <c r="J4" s="5" t="inlineStr">
        <is>
          <t>cvar_95_loss_on_10lakh_inr</t>
        </is>
      </c>
      <c r="K4" s="5" t="inlineStr">
        <is>
          <t>max_drawdown_loss_on_10lakh_inr</t>
        </is>
      </c>
    </row>
    <row r="5">
      <c r="A5" s="6" t="inlineStr">
        <is>
          <t>Equal Weight</t>
        </is>
      </c>
      <c r="B5" s="11" t="n">
        <v>22.1886</v>
      </c>
      <c r="C5" s="11" t="n">
        <v>15.765</v>
      </c>
      <c r="D5" s="11" t="n">
        <v>-2.0591</v>
      </c>
      <c r="E5" s="11" t="n">
        <v>-3.2113</v>
      </c>
      <c r="F5" s="11" t="n">
        <v>-8.4977</v>
      </c>
      <c r="G5" s="6" t="inlineStr">
        <is>
          <t>2020-03-12</t>
        </is>
      </c>
      <c r="H5" s="11" t="n">
        <v>-47.9157</v>
      </c>
      <c r="I5" s="11" t="n">
        <v>20591.3794</v>
      </c>
      <c r="J5" s="11" t="n">
        <v>32112.9654</v>
      </c>
      <c r="K5" s="11" t="n">
        <v>479157.3347</v>
      </c>
    </row>
    <row r="6">
      <c r="A6" s="6" t="inlineStr">
        <is>
          <t>Minimum Volatility</t>
        </is>
      </c>
      <c r="B6" s="11" t="n">
        <v>21.9794</v>
      </c>
      <c r="C6" s="11" t="n">
        <v>15.54</v>
      </c>
      <c r="D6" s="11" t="n">
        <v>-2.069</v>
      </c>
      <c r="E6" s="11" t="n">
        <v>-3.1778</v>
      </c>
      <c r="F6" s="11" t="n">
        <v>-8.711</v>
      </c>
      <c r="G6" s="6" t="inlineStr">
        <is>
          <t>2020-03-12</t>
        </is>
      </c>
      <c r="H6" s="11" t="n">
        <v>-48.848</v>
      </c>
      <c r="I6" s="11" t="n">
        <v>20689.8816</v>
      </c>
      <c r="J6" s="11" t="n">
        <v>31778.3622</v>
      </c>
      <c r="K6" s="11" t="n">
        <v>488479.9318</v>
      </c>
    </row>
    <row r="7">
      <c r="A7" s="6" t="inlineStr">
        <is>
          <t>Maximum Sharpe</t>
        </is>
      </c>
      <c r="B7" s="11" t="n">
        <v>24.4026</v>
      </c>
      <c r="C7" s="11" t="n">
        <v>17.1998</v>
      </c>
      <c r="D7" s="11" t="n">
        <v>-2.2631</v>
      </c>
      <c r="E7" s="11" t="n">
        <v>-3.5135</v>
      </c>
      <c r="F7" s="11" t="n">
        <v>-9.246</v>
      </c>
      <c r="G7" s="6" t="inlineStr">
        <is>
          <t>2026-04-22</t>
        </is>
      </c>
      <c r="H7" s="11" t="n">
        <v>-45.3319</v>
      </c>
      <c r="I7" s="11" t="n">
        <v>22631.0612</v>
      </c>
      <c r="J7" s="11" t="n">
        <v>35134.6788</v>
      </c>
      <c r="K7" s="11" t="n">
        <v>453319.0637</v>
      </c>
    </row>
  </sheetData>
  <autoFilter ref="A4:K7"/>
  <mergeCells count="1">
    <mergeCell ref="A1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2026-10-07T17:10:40Z</dcterms:created>
  <dcterms:modified xmlns:dcterms="http://purl.org/dc/terms/" xmlns:xsi="http://www.w3.org/2001/XMLSchema-instance" xsi:type="dcterms:W3CDTF">2026-10-07T17:10:40Z</dcterms:modified>
</cp:coreProperties>
</file>